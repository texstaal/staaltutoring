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ff2e7bfdec17ef34/Documenten/Bijles/FIN2/FIN2 Documenten/"/>
    </mc:Choice>
  </mc:AlternateContent>
  <xr:revisionPtr revIDLastSave="1" documentId="13_ncr:1_{88C47061-AFF4-4208-A94B-F2CAFA2AA91C}" xr6:coauthVersionLast="47" xr6:coauthVersionMax="47" xr10:uidLastSave="{2EDBF85E-A4B8-478E-A7F1-AD82F1049FB0}"/>
  <bookViews>
    <workbookView xWindow="11918" yWindow="0" windowWidth="12165" windowHeight="14362" firstSheet="1" activeTab="1" xr2:uid="{00000000-000D-0000-FFFF-FFFF00000000}"/>
  </bookViews>
  <sheets>
    <sheet name="Information" sheetId="5" r:id="rId1"/>
    <sheet name="LU1" sheetId="10" r:id="rId2"/>
    <sheet name="LU2" sheetId="1" r:id="rId3"/>
    <sheet name="LU3" sheetId="3" r:id="rId4"/>
    <sheet name="LU4" sheetId="4" r:id="rId5"/>
    <sheet name="LU5" sheetId="6" r:id="rId6"/>
    <sheet name="LU6" sheetId="7" r:id="rId7"/>
    <sheet name="LU7" sheetId="11"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5" i="10" l="1"/>
  <c r="B95" i="1" l="1"/>
  <c r="B299" i="3"/>
  <c r="C246" i="1"/>
  <c r="B246" i="1"/>
  <c r="B151" i="11" l="1"/>
  <c r="E146" i="11"/>
  <c r="E145" i="11"/>
  <c r="B380" i="6"/>
  <c r="B381" i="6"/>
  <c r="B376" i="6"/>
  <c r="B375" i="6"/>
  <c r="B374" i="6"/>
  <c r="D495" i="7"/>
  <c r="C495" i="7"/>
  <c r="B495" i="7"/>
  <c r="E486" i="7"/>
  <c r="E487" i="7" s="1"/>
  <c r="E488" i="7" s="1"/>
  <c r="E492" i="7" s="1"/>
  <c r="E493" i="7" s="1"/>
  <c r="E489" i="7"/>
  <c r="E490" i="7"/>
  <c r="E491" i="7"/>
  <c r="E484" i="7"/>
  <c r="E483" i="7"/>
  <c r="E482" i="7"/>
  <c r="E481" i="7"/>
  <c r="D490" i="7"/>
  <c r="D489" i="7"/>
  <c r="C490" i="7"/>
  <c r="C489" i="7"/>
  <c r="B490" i="7"/>
  <c r="B489" i="7"/>
  <c r="D487" i="7"/>
  <c r="C487" i="7"/>
  <c r="B487" i="7"/>
  <c r="D483" i="7"/>
  <c r="D491" i="7" s="1"/>
  <c r="C483" i="7"/>
  <c r="C491" i="7" s="1"/>
  <c r="B483" i="7"/>
  <c r="B491" i="7" s="1"/>
  <c r="D482" i="7"/>
  <c r="C482" i="7"/>
  <c r="B482" i="7"/>
  <c r="D481" i="7"/>
  <c r="C481" i="7"/>
  <c r="B481" i="7"/>
  <c r="B492" i="3"/>
  <c r="B491" i="3"/>
  <c r="B490" i="3"/>
  <c r="B321" i="1"/>
  <c r="C318" i="1"/>
  <c r="D313" i="1"/>
  <c r="C311" i="1"/>
  <c r="E494" i="7" l="1"/>
  <c r="E495" i="7" s="1"/>
  <c r="B497" i="7" s="1"/>
  <c r="B382" i="6"/>
  <c r="B484" i="7"/>
  <c r="B486" i="7" s="1"/>
  <c r="B488" i="7" s="1"/>
  <c r="B492" i="7" s="1"/>
  <c r="B494" i="7" s="1"/>
  <c r="C484" i="7" l="1"/>
  <c r="C486" i="7" s="1"/>
  <c r="D484" i="7"/>
  <c r="D486" i="7" s="1"/>
  <c r="B456" i="7"/>
  <c r="B457" i="7" s="1"/>
  <c r="B458" i="7" s="1"/>
  <c r="B301" i="1"/>
  <c r="B297" i="1"/>
  <c r="D488" i="7" l="1"/>
  <c r="D492" i="7" s="1"/>
  <c r="C488" i="7"/>
  <c r="C492" i="7" s="1"/>
  <c r="C494" i="7" s="1"/>
  <c r="B459" i="7"/>
  <c r="B461" i="7"/>
  <c r="B462" i="7" s="1"/>
  <c r="B413" i="3"/>
  <c r="B321" i="3"/>
  <c r="D494" i="7" l="1"/>
  <c r="C109" i="11"/>
  <c r="C110" i="11" s="1"/>
  <c r="C113" i="11" s="1"/>
  <c r="D440" i="7" l="1"/>
  <c r="C440" i="7"/>
  <c r="B440" i="7"/>
  <c r="D439" i="7"/>
  <c r="C439" i="7"/>
  <c r="B439" i="7"/>
  <c r="D433" i="7"/>
  <c r="D441" i="7" s="1"/>
  <c r="C433" i="7"/>
  <c r="C441" i="7" s="1"/>
  <c r="B433" i="7"/>
  <c r="B441" i="7" s="1"/>
  <c r="B432" i="7"/>
  <c r="B434" i="7" s="1"/>
  <c r="B436" i="7" s="1"/>
  <c r="C432" i="7" l="1"/>
  <c r="B437" i="7"/>
  <c r="B438" i="7" s="1"/>
  <c r="B442" i="7" s="1"/>
  <c r="B444" i="7" s="1"/>
  <c r="B445" i="7" s="1"/>
  <c r="B476" i="3"/>
  <c r="B452" i="3"/>
  <c r="B453" i="3" s="1"/>
  <c r="B451" i="3"/>
  <c r="C430" i="3"/>
  <c r="B88" i="10"/>
  <c r="B90" i="10"/>
  <c r="B84" i="10"/>
  <c r="B86" i="10" s="1"/>
  <c r="B69" i="10"/>
  <c r="B67" i="10"/>
  <c r="B66" i="10"/>
  <c r="B65" i="10"/>
  <c r="D432" i="7" l="1"/>
  <c r="D434" i="7" s="1"/>
  <c r="D436" i="7" s="1"/>
  <c r="C434" i="7"/>
  <c r="C436" i="7" s="1"/>
  <c r="B70" i="10"/>
  <c r="B163" i="4"/>
  <c r="A155" i="4"/>
  <c r="A153" i="4"/>
  <c r="D274" i="1"/>
  <c r="D273" i="1"/>
  <c r="D267" i="1"/>
  <c r="D268" i="1"/>
  <c r="D269" i="1"/>
  <c r="D270" i="1"/>
  <c r="D271" i="1"/>
  <c r="D266" i="1"/>
  <c r="D260" i="1"/>
  <c r="D261" i="1"/>
  <c r="D262" i="1"/>
  <c r="D263" i="1"/>
  <c r="D264" i="1"/>
  <c r="D259" i="1"/>
  <c r="D253" i="1"/>
  <c r="D254" i="1"/>
  <c r="D255" i="1"/>
  <c r="D256" i="1"/>
  <c r="D257" i="1"/>
  <c r="D252" i="1"/>
  <c r="C437" i="7" l="1"/>
  <c r="C438" i="7" s="1"/>
  <c r="C442" i="7" s="1"/>
  <c r="C444" i="7" s="1"/>
  <c r="C445" i="7" s="1"/>
  <c r="D437" i="7"/>
  <c r="D438" i="7" s="1"/>
  <c r="D442" i="7" s="1"/>
  <c r="D443" i="7" s="1"/>
  <c r="D444" i="7" s="1"/>
  <c r="D445" i="7" s="1"/>
  <c r="B447" i="7" s="1"/>
  <c r="A157" i="4"/>
  <c r="C248" i="1" l="1"/>
  <c r="B248" i="1"/>
  <c r="B234" i="1"/>
  <c r="B405" i="3"/>
  <c r="B409" i="3" s="1"/>
  <c r="B404" i="3"/>
  <c r="B408" i="3" s="1"/>
  <c r="B403" i="3"/>
  <c r="B407" i="3" s="1"/>
  <c r="B410" i="3" s="1"/>
  <c r="F379" i="7" l="1"/>
  <c r="E379" i="7"/>
  <c r="D379" i="7"/>
  <c r="C379" i="7"/>
  <c r="F381" i="7"/>
  <c r="B379" i="7"/>
  <c r="B372" i="7"/>
  <c r="C372" i="7" s="1"/>
  <c r="D372" i="7" s="1"/>
  <c r="E372" i="7" s="1"/>
  <c r="F372" i="7" s="1"/>
  <c r="B371" i="7"/>
  <c r="C371" i="7" s="1"/>
  <c r="D371" i="7" s="1"/>
  <c r="G366" i="7"/>
  <c r="B374" i="7" s="1"/>
  <c r="B378" i="7" s="1"/>
  <c r="E350" i="7"/>
  <c r="E349" i="7"/>
  <c r="D171" i="4"/>
  <c r="E171" i="4"/>
  <c r="F171" i="4"/>
  <c r="G171" i="4"/>
  <c r="D172" i="4"/>
  <c r="D173" i="4" s="1"/>
  <c r="E172" i="4"/>
  <c r="F172" i="4"/>
  <c r="G172" i="4"/>
  <c r="G173" i="4" s="1"/>
  <c r="C172" i="4"/>
  <c r="B172" i="4"/>
  <c r="B173" i="4" s="1"/>
  <c r="C171" i="4"/>
  <c r="B171" i="4"/>
  <c r="C98" i="11"/>
  <c r="C100" i="11" s="1"/>
  <c r="A88" i="11"/>
  <c r="C326" i="7"/>
  <c r="D326" i="7"/>
  <c r="B326" i="7"/>
  <c r="C325" i="7"/>
  <c r="D325" i="7"/>
  <c r="B325" i="7"/>
  <c r="C319" i="7"/>
  <c r="C327" i="7" s="1"/>
  <c r="D319" i="7"/>
  <c r="D327" i="7" s="1"/>
  <c r="B319" i="7"/>
  <c r="B327" i="7" s="1"/>
  <c r="B317" i="7"/>
  <c r="B318" i="7" s="1"/>
  <c r="D130" i="4"/>
  <c r="D131" i="4" s="1"/>
  <c r="D132" i="4" s="1"/>
  <c r="D133" i="4" s="1"/>
  <c r="C130" i="4"/>
  <c r="C131" i="4" s="1"/>
  <c r="B130" i="4"/>
  <c r="B131" i="4" s="1"/>
  <c r="B391" i="3"/>
  <c r="F372" i="3"/>
  <c r="F374" i="3" s="1"/>
  <c r="B385" i="3" s="1"/>
  <c r="G367" i="3"/>
  <c r="B371" i="3" s="1"/>
  <c r="G366" i="3"/>
  <c r="B369" i="3" s="1"/>
  <c r="G365" i="3"/>
  <c r="B220" i="1"/>
  <c r="B219" i="1"/>
  <c r="K210" i="1"/>
  <c r="K220" i="1" s="1"/>
  <c r="J210" i="1"/>
  <c r="J220" i="1" s="1"/>
  <c r="G212" i="1"/>
  <c r="F212" i="1"/>
  <c r="F220" i="1" s="1"/>
  <c r="E351" i="7" l="1"/>
  <c r="F174" i="4"/>
  <c r="F374" i="7"/>
  <c r="F378" i="7" s="1"/>
  <c r="D374" i="7"/>
  <c r="D378" i="7" s="1"/>
  <c r="E374" i="7"/>
  <c r="E378" i="7" s="1"/>
  <c r="C374" i="7"/>
  <c r="C378" i="7" s="1"/>
  <c r="B373" i="7"/>
  <c r="B375" i="7" s="1"/>
  <c r="D174" i="4"/>
  <c r="E174" i="4"/>
  <c r="E175" i="4" s="1"/>
  <c r="E173" i="4"/>
  <c r="C174" i="4"/>
  <c r="C175" i="4" s="1"/>
  <c r="F173" i="4"/>
  <c r="C132" i="4"/>
  <c r="C133" i="4" s="1"/>
  <c r="D134" i="4" s="1"/>
  <c r="D135" i="4" s="1"/>
  <c r="C173" i="4"/>
  <c r="B174" i="4"/>
  <c r="B175" i="4" s="1"/>
  <c r="B132" i="4"/>
  <c r="B133" i="4" s="1"/>
  <c r="B135" i="4" s="1"/>
  <c r="G174" i="4"/>
  <c r="B203" i="1"/>
  <c r="G220" i="1"/>
  <c r="B222" i="1" s="1"/>
  <c r="B202" i="1"/>
  <c r="B370" i="3"/>
  <c r="B384" i="3" s="1"/>
  <c r="B389" i="3" s="1"/>
  <c r="B393" i="3" s="1"/>
  <c r="B394" i="3" s="1"/>
  <c r="D373" i="7"/>
  <c r="D375" i="7" s="1"/>
  <c r="D376" i="7" s="1"/>
  <c r="E371" i="7"/>
  <c r="C373" i="7"/>
  <c r="C317" i="7"/>
  <c r="B320" i="7"/>
  <c r="B322" i="7" s="1"/>
  <c r="B323" i="7" s="1"/>
  <c r="A54" i="11"/>
  <c r="F175" i="4" l="1"/>
  <c r="D377" i="7"/>
  <c r="D380" i="7" s="1"/>
  <c r="D382" i="7" s="1"/>
  <c r="D384" i="7" s="1"/>
  <c r="C375" i="7"/>
  <c r="C376" i="7" s="1"/>
  <c r="C377" i="7" s="1"/>
  <c r="C380" i="7" s="1"/>
  <c r="C382" i="7" s="1"/>
  <c r="C384" i="7" s="1"/>
  <c r="B376" i="7"/>
  <c r="B377" i="7" s="1"/>
  <c r="B380" i="7" s="1"/>
  <c r="B382" i="7" s="1"/>
  <c r="B384" i="7" s="1"/>
  <c r="D175" i="4"/>
  <c r="G175" i="4"/>
  <c r="C134" i="4"/>
  <c r="C135" i="4" s="1"/>
  <c r="B221" i="1"/>
  <c r="B223" i="1" s="1"/>
  <c r="B372" i="3"/>
  <c r="F371" i="7"/>
  <c r="F373" i="7" s="1"/>
  <c r="F375" i="7" s="1"/>
  <c r="F376" i="7" s="1"/>
  <c r="F377" i="7" s="1"/>
  <c r="F380" i="7" s="1"/>
  <c r="F382" i="7" s="1"/>
  <c r="F384" i="7" s="1"/>
  <c r="E373" i="7"/>
  <c r="E375" i="7" s="1"/>
  <c r="B324" i="7"/>
  <c r="B328" i="7" s="1"/>
  <c r="B330" i="7" s="1"/>
  <c r="B331" i="7" s="1"/>
  <c r="D317" i="7"/>
  <c r="D318" i="7" s="1"/>
  <c r="D320" i="7" s="1"/>
  <c r="D322" i="7" s="1"/>
  <c r="D323" i="7" s="1"/>
  <c r="C318" i="7"/>
  <c r="C320" i="7" s="1"/>
  <c r="C322" i="7" s="1"/>
  <c r="C323" i="7" s="1"/>
  <c r="C302" i="7"/>
  <c r="D302" i="7"/>
  <c r="B303" i="7"/>
  <c r="B302" i="7"/>
  <c r="C296" i="7"/>
  <c r="C304" i="7" s="1"/>
  <c r="D296" i="7"/>
  <c r="D304" i="7" s="1"/>
  <c r="B296" i="7"/>
  <c r="B304" i="7" s="1"/>
  <c r="B294" i="7"/>
  <c r="B295" i="7" s="1"/>
  <c r="D303" i="7"/>
  <c r="C303" i="7"/>
  <c r="D281" i="7"/>
  <c r="C281" i="7"/>
  <c r="B281" i="7"/>
  <c r="C280" i="7"/>
  <c r="D280" i="7"/>
  <c r="B280" i="7"/>
  <c r="C274" i="7"/>
  <c r="C282" i="7" s="1"/>
  <c r="D274" i="7"/>
  <c r="D282" i="7" s="1"/>
  <c r="B274" i="7"/>
  <c r="B282" i="7" s="1"/>
  <c r="B272" i="7"/>
  <c r="B273" i="7" s="1"/>
  <c r="B275" i="7" l="1"/>
  <c r="B277" i="7" s="1"/>
  <c r="B278" i="7" s="1"/>
  <c r="B279" i="7" s="1"/>
  <c r="B283" i="7" s="1"/>
  <c r="B285" i="7" s="1"/>
  <c r="B286" i="7" s="1"/>
  <c r="E376" i="7"/>
  <c r="E377" i="7" s="1"/>
  <c r="E380" i="7" s="1"/>
  <c r="E382" i="7" s="1"/>
  <c r="E384" i="7" s="1"/>
  <c r="B386" i="7" s="1"/>
  <c r="B387" i="7" s="1"/>
  <c r="C272" i="7"/>
  <c r="C273" i="7" s="1"/>
  <c r="C275" i="7" s="1"/>
  <c r="C277" i="7" s="1"/>
  <c r="C278" i="7" s="1"/>
  <c r="C279" i="7" s="1"/>
  <c r="C283" i="7" s="1"/>
  <c r="C285" i="7" s="1"/>
  <c r="C286" i="7" s="1"/>
  <c r="C294" i="7"/>
  <c r="D324" i="7"/>
  <c r="D328" i="7" s="1"/>
  <c r="C324" i="7"/>
  <c r="C328" i="7" s="1"/>
  <c r="C330" i="7" s="1"/>
  <c r="C331" i="7" s="1"/>
  <c r="B297" i="7"/>
  <c r="B299" i="7" s="1"/>
  <c r="B300" i="7" s="1"/>
  <c r="D272" i="7" l="1"/>
  <c r="D273" i="7" s="1"/>
  <c r="D275" i="7" s="1"/>
  <c r="D277" i="7" s="1"/>
  <c r="D278" i="7" s="1"/>
  <c r="D279" i="7" s="1"/>
  <c r="D283" i="7" s="1"/>
  <c r="B301" i="7"/>
  <c r="B305" i="7" s="1"/>
  <c r="B307" i="7" s="1"/>
  <c r="B308" i="7" s="1"/>
  <c r="C295" i="7"/>
  <c r="D294" i="7"/>
  <c r="D295" i="7" s="1"/>
  <c r="D297" i="7" s="1"/>
  <c r="D299" i="7" s="1"/>
  <c r="D300" i="7" s="1"/>
  <c r="D329" i="7"/>
  <c r="D330" i="7" s="1"/>
  <c r="C297" i="7"/>
  <c r="C299" i="7" s="1"/>
  <c r="C300" i="7" s="1"/>
  <c r="D284" i="7" l="1"/>
  <c r="D331" i="7"/>
  <c r="B334" i="7" s="1"/>
  <c r="D301" i="7"/>
  <c r="D305" i="7" s="1"/>
  <c r="C301" i="7"/>
  <c r="C305" i="7" s="1"/>
  <c r="C307" i="7" s="1"/>
  <c r="C308" i="7" s="1"/>
  <c r="D285" i="7" l="1"/>
  <c r="D286" i="7" s="1"/>
  <c r="B289" i="7" s="1"/>
  <c r="D306" i="7"/>
  <c r="D307" i="7" s="1"/>
  <c r="D308" i="7" s="1"/>
  <c r="B311" i="7" s="1"/>
  <c r="B350" i="3" l="1"/>
  <c r="A350" i="3"/>
  <c r="B339" i="3"/>
  <c r="B338" i="3"/>
  <c r="B337" i="3"/>
  <c r="B343" i="3" s="1"/>
  <c r="B336" i="3"/>
  <c r="B342" i="3" s="1"/>
  <c r="B335" i="3"/>
  <c r="B341" i="3" s="1"/>
  <c r="B345" i="3" l="1"/>
  <c r="B303" i="3"/>
  <c r="B302" i="3"/>
  <c r="B301" i="3"/>
  <c r="B307" i="3" s="1"/>
  <c r="B300" i="3"/>
  <c r="B306" i="3" s="1"/>
  <c r="B305" i="3"/>
  <c r="B309" i="3" s="1"/>
  <c r="B190" i="1"/>
  <c r="A190" i="1"/>
  <c r="B176" i="1"/>
  <c r="A176" i="1"/>
  <c r="D234" i="7"/>
  <c r="D240" i="7" s="1"/>
  <c r="C234" i="7"/>
  <c r="C240" i="7" s="1"/>
  <c r="B234" i="7"/>
  <c r="B240" i="7" s="1"/>
  <c r="B232" i="7"/>
  <c r="D196" i="7"/>
  <c r="C196" i="7"/>
  <c r="B196" i="7"/>
  <c r="B187" i="7"/>
  <c r="B189" i="7" s="1"/>
  <c r="B191" i="7" s="1"/>
  <c r="B193" i="7" s="1"/>
  <c r="C186" i="7"/>
  <c r="D186" i="7" s="1"/>
  <c r="D187" i="7" s="1"/>
  <c r="G165" i="7"/>
  <c r="F165" i="7"/>
  <c r="E165" i="7"/>
  <c r="B165" i="7"/>
  <c r="B157" i="7"/>
  <c r="B155" i="7"/>
  <c r="B156" i="7" s="1"/>
  <c r="B153" i="7"/>
  <c r="B152" i="7"/>
  <c r="B122" i="7"/>
  <c r="D118" i="7"/>
  <c r="D124" i="7" s="1"/>
  <c r="C118" i="7"/>
  <c r="C124" i="7" s="1"/>
  <c r="B118" i="7"/>
  <c r="B119" i="7" s="1"/>
  <c r="B121" i="7" s="1"/>
  <c r="C117" i="7"/>
  <c r="F95" i="7"/>
  <c r="E92" i="7"/>
  <c r="E95" i="7" s="1"/>
  <c r="D92" i="7"/>
  <c r="D95" i="7" s="1"/>
  <c r="C92" i="7"/>
  <c r="C95" i="7" s="1"/>
  <c r="B92" i="7"/>
  <c r="B95" i="7" s="1"/>
  <c r="B87" i="7"/>
  <c r="G84" i="7" s="1"/>
  <c r="G93" i="7" s="1"/>
  <c r="G95" i="7" s="1"/>
  <c r="J68" i="7"/>
  <c r="F60" i="7"/>
  <c r="F67" i="7" s="1"/>
  <c r="E60" i="7"/>
  <c r="E67" i="7" s="1"/>
  <c r="D60" i="7"/>
  <c r="D67" i="7" s="1"/>
  <c r="F58" i="7"/>
  <c r="E58" i="7"/>
  <c r="D58" i="7"/>
  <c r="D56" i="7"/>
  <c r="D57" i="7" s="1"/>
  <c r="E55" i="7"/>
  <c r="E40" i="7"/>
  <c r="D40" i="7"/>
  <c r="C40" i="7"/>
  <c r="E39" i="7"/>
  <c r="D39" i="7"/>
  <c r="C39" i="7"/>
  <c r="E38" i="7"/>
  <c r="D38" i="7"/>
  <c r="C38" i="7"/>
  <c r="E37" i="7"/>
  <c r="D37" i="7"/>
  <c r="C37" i="7"/>
  <c r="F37" i="7" s="1"/>
  <c r="E36" i="7"/>
  <c r="D36" i="7"/>
  <c r="C36" i="7"/>
  <c r="B16" i="7"/>
  <c r="G15" i="7"/>
  <c r="B24" i="7" s="1"/>
  <c r="B15" i="7"/>
  <c r="C14" i="7"/>
  <c r="C15" i="7" s="1"/>
  <c r="A300" i="6"/>
  <c r="B303" i="6" s="1"/>
  <c r="B291" i="6"/>
  <c r="B271" i="6"/>
  <c r="B270" i="6"/>
  <c r="C255" i="6"/>
  <c r="A259" i="6" s="1"/>
  <c r="D241" i="6"/>
  <c r="D242" i="6" s="1"/>
  <c r="D236" i="6"/>
  <c r="D237" i="6" s="1"/>
  <c r="D238" i="6" s="1"/>
  <c r="G214" i="6"/>
  <c r="G218" i="6" s="1"/>
  <c r="F214" i="6"/>
  <c r="F218" i="6" s="1"/>
  <c r="E214" i="6"/>
  <c r="E218" i="6" s="1"/>
  <c r="D214" i="6"/>
  <c r="D218" i="6" s="1"/>
  <c r="C214" i="6"/>
  <c r="C218" i="6" s="1"/>
  <c r="G212" i="6"/>
  <c r="F212" i="6"/>
  <c r="E212" i="6"/>
  <c r="D212" i="6"/>
  <c r="C212" i="6"/>
  <c r="C211" i="6"/>
  <c r="D210" i="6"/>
  <c r="D211" i="6" s="1"/>
  <c r="C205" i="6"/>
  <c r="C204" i="6"/>
  <c r="C203" i="6"/>
  <c r="C202" i="6"/>
  <c r="E189" i="6"/>
  <c r="C189" i="6"/>
  <c r="J188" i="6"/>
  <c r="B183" i="6"/>
  <c r="B179" i="6"/>
  <c r="B173" i="6"/>
  <c r="B172" i="6"/>
  <c r="D170" i="6" s="1"/>
  <c r="B168" i="6"/>
  <c r="B164" i="6"/>
  <c r="D164" i="6" s="1"/>
  <c r="F164" i="6" s="1"/>
  <c r="B171" i="6" s="1"/>
  <c r="K128" i="6"/>
  <c r="B123" i="6"/>
  <c r="I121" i="6"/>
  <c r="J121" i="6" s="1"/>
  <c r="K121" i="6" s="1"/>
  <c r="H120" i="6"/>
  <c r="I120" i="6" s="1"/>
  <c r="C119" i="6"/>
  <c r="E119" i="6" s="1"/>
  <c r="E120" i="6" s="1"/>
  <c r="J127" i="6" s="1"/>
  <c r="C116" i="6"/>
  <c r="E116" i="6" s="1"/>
  <c r="C115" i="6"/>
  <c r="E115" i="6" s="1"/>
  <c r="B111" i="6"/>
  <c r="B86" i="6"/>
  <c r="B94" i="6" s="1"/>
  <c r="C74" i="6"/>
  <c r="I69" i="6"/>
  <c r="C65" i="6"/>
  <c r="J63" i="6"/>
  <c r="D67" i="6" s="1"/>
  <c r="D78" i="6" s="1"/>
  <c r="D62" i="6"/>
  <c r="D65" i="6" s="1"/>
  <c r="C44" i="6"/>
  <c r="C45" i="6" s="1"/>
  <c r="B46" i="6" s="1"/>
  <c r="B49" i="6" s="1"/>
  <c r="B30" i="6"/>
  <c r="E30" i="6" s="1"/>
  <c r="B29" i="6"/>
  <c r="E29" i="6" s="1"/>
  <c r="B28" i="6"/>
  <c r="E28" i="6" s="1"/>
  <c r="B27" i="6"/>
  <c r="E27" i="6" s="1"/>
  <c r="B14" i="6"/>
  <c r="B6" i="6"/>
  <c r="B8" i="6" s="1"/>
  <c r="F38" i="7" l="1"/>
  <c r="C213" i="6"/>
  <c r="C215" i="6" s="1"/>
  <c r="C217" i="6" s="1"/>
  <c r="C220" i="6" s="1"/>
  <c r="C221" i="6" s="1"/>
  <c r="E170" i="6"/>
  <c r="F170" i="6" s="1"/>
  <c r="F40" i="7"/>
  <c r="I165" i="7"/>
  <c r="H122" i="6"/>
  <c r="B272" i="6"/>
  <c r="B17" i="7"/>
  <c r="D59" i="7"/>
  <c r="D61" i="7" s="1"/>
  <c r="D63" i="7" s="1"/>
  <c r="D66" i="7" s="1"/>
  <c r="D68" i="7" s="1"/>
  <c r="D70" i="7" s="1"/>
  <c r="D71" i="7" s="1"/>
  <c r="F36" i="7"/>
  <c r="B123" i="7"/>
  <c r="D14" i="7"/>
  <c r="D15" i="7" s="1"/>
  <c r="D17" i="7" s="1"/>
  <c r="C17" i="7"/>
  <c r="D18" i="7"/>
  <c r="C187" i="7"/>
  <c r="C189" i="7" s="1"/>
  <c r="C191" i="7" s="1"/>
  <c r="C193" i="7" s="1"/>
  <c r="C194" i="7" s="1"/>
  <c r="C195" i="7" s="1"/>
  <c r="C197" i="7" s="1"/>
  <c r="C199" i="7" s="1"/>
  <c r="C191" i="6"/>
  <c r="D213" i="6"/>
  <c r="D215" i="6" s="1"/>
  <c r="D216" i="6" s="1"/>
  <c r="D217" i="6" s="1"/>
  <c r="D220" i="6" s="1"/>
  <c r="D221" i="6" s="1"/>
  <c r="E210" i="6"/>
  <c r="B91" i="6"/>
  <c r="B158" i="7"/>
  <c r="C158" i="7" s="1"/>
  <c r="D158" i="7" s="1"/>
  <c r="B124" i="7"/>
  <c r="D69" i="6"/>
  <c r="D72" i="6" s="1"/>
  <c r="F39" i="7"/>
  <c r="B194" i="7"/>
  <c r="B195" i="7" s="1"/>
  <c r="B197" i="7" s="1"/>
  <c r="B199" i="7" s="1"/>
  <c r="C97" i="7"/>
  <c r="C100" i="7"/>
  <c r="I122" i="6"/>
  <c r="J120" i="6"/>
  <c r="H124" i="6"/>
  <c r="E67" i="6"/>
  <c r="E78" i="6" s="1"/>
  <c r="J123" i="6"/>
  <c r="K127" i="6"/>
  <c r="F55" i="7"/>
  <c r="C232" i="7"/>
  <c r="B233" i="7"/>
  <c r="B235" i="7" s="1"/>
  <c r="B237" i="7" s="1"/>
  <c r="F67" i="6"/>
  <c r="F78" i="6" s="1"/>
  <c r="D14" i="6"/>
  <c r="C67" i="6"/>
  <c r="C78" i="6" s="1"/>
  <c r="H123" i="6"/>
  <c r="I127" i="6"/>
  <c r="E56" i="7"/>
  <c r="E57" i="7" s="1"/>
  <c r="E59" i="7" s="1"/>
  <c r="E61" i="7" s="1"/>
  <c r="E63" i="7" s="1"/>
  <c r="D117" i="7"/>
  <c r="D119" i="7" s="1"/>
  <c r="D121" i="7" s="1"/>
  <c r="C119" i="7"/>
  <c r="C121" i="7" s="1"/>
  <c r="C123" i="7" s="1"/>
  <c r="C125" i="7" s="1"/>
  <c r="C127" i="7" s="1"/>
  <c r="C128" i="7" s="1"/>
  <c r="D189" i="7"/>
  <c r="D191" i="7" s="1"/>
  <c r="D193" i="7" s="1"/>
  <c r="K123" i="6"/>
  <c r="H127" i="6"/>
  <c r="E62" i="6"/>
  <c r="I123" i="6"/>
  <c r="D24" i="7"/>
  <c r="C18" i="7"/>
  <c r="B18" i="7"/>
  <c r="C24" i="7"/>
  <c r="B19" i="7" l="1"/>
  <c r="B21" i="7" s="1"/>
  <c r="B22" i="7" s="1"/>
  <c r="B23" i="7" s="1"/>
  <c r="B25" i="7" s="1"/>
  <c r="B27" i="7" s="1"/>
  <c r="B125" i="7"/>
  <c r="B127" i="7" s="1"/>
  <c r="B128" i="7" s="1"/>
  <c r="C19" i="7"/>
  <c r="C21" i="7" s="1"/>
  <c r="C22" i="7" s="1"/>
  <c r="C23" i="7" s="1"/>
  <c r="C25" i="7" s="1"/>
  <c r="C27" i="7" s="1"/>
  <c r="C160" i="7"/>
  <c r="D19" i="7"/>
  <c r="D21" i="7" s="1"/>
  <c r="D22" i="7" s="1"/>
  <c r="D23" i="7" s="1"/>
  <c r="D25" i="7" s="1"/>
  <c r="E211" i="6"/>
  <c r="E213" i="6" s="1"/>
  <c r="E215" i="6" s="1"/>
  <c r="E216" i="6" s="1"/>
  <c r="E217" i="6" s="1"/>
  <c r="E220" i="6" s="1"/>
  <c r="E221" i="6" s="1"/>
  <c r="F210" i="6"/>
  <c r="B238" i="7"/>
  <c r="B239" i="7" s="1"/>
  <c r="B242" i="7" s="1"/>
  <c r="B244" i="7" s="1"/>
  <c r="F56" i="7"/>
  <c r="F57" i="7"/>
  <c r="F59" i="7" s="1"/>
  <c r="F61" i="7" s="1"/>
  <c r="F63" i="7" s="1"/>
  <c r="C69" i="6"/>
  <c r="C72" i="6" s="1"/>
  <c r="I124" i="6"/>
  <c r="D122" i="7"/>
  <c r="D123" i="7" s="1"/>
  <c r="D125" i="7" s="1"/>
  <c r="E158" i="7"/>
  <c r="D160" i="7"/>
  <c r="H125" i="6"/>
  <c r="H126" i="6" s="1"/>
  <c r="H129" i="6" s="1"/>
  <c r="C124" i="6" s="1"/>
  <c r="D194" i="7"/>
  <c r="D195" i="7" s="1"/>
  <c r="D197" i="7" s="1"/>
  <c r="D232" i="7"/>
  <c r="C233" i="7"/>
  <c r="C235" i="7" s="1"/>
  <c r="C237" i="7" s="1"/>
  <c r="E64" i="7"/>
  <c r="E65" i="7" s="1"/>
  <c r="E66" i="7" s="1"/>
  <c r="E68" i="7" s="1"/>
  <c r="E70" i="7" s="1"/>
  <c r="E71" i="7" s="1"/>
  <c r="J122" i="6"/>
  <c r="J124" i="6" s="1"/>
  <c r="K120" i="6"/>
  <c r="K122" i="6" s="1"/>
  <c r="K124" i="6" s="1"/>
  <c r="E65" i="6"/>
  <c r="E69" i="6" s="1"/>
  <c r="E72" i="6" s="1"/>
  <c r="F62" i="6"/>
  <c r="F65" i="6" s="1"/>
  <c r="F69" i="6" s="1"/>
  <c r="F72" i="6" s="1"/>
  <c r="A19" i="6"/>
  <c r="D16" i="6"/>
  <c r="D17" i="6" s="1"/>
  <c r="D18" i="6" s="1"/>
  <c r="B16" i="6"/>
  <c r="B17" i="6" s="1"/>
  <c r="F211" i="6" l="1"/>
  <c r="F213" i="6" s="1"/>
  <c r="F215" i="6" s="1"/>
  <c r="F216" i="6" s="1"/>
  <c r="F217" i="6" s="1"/>
  <c r="F220" i="6" s="1"/>
  <c r="F221" i="6" s="1"/>
  <c r="G210" i="6"/>
  <c r="C238" i="7"/>
  <c r="C239" i="7" s="1"/>
  <c r="C242" i="7" s="1"/>
  <c r="C244" i="7" s="1"/>
  <c r="D198" i="7"/>
  <c r="D199" i="7" s="1"/>
  <c r="C201" i="7" s="1"/>
  <c r="C76" i="6"/>
  <c r="C81" i="6" s="1"/>
  <c r="J69" i="6" s="1"/>
  <c r="K69" i="6" s="1"/>
  <c r="I70" i="6" s="1"/>
  <c r="D74" i="6"/>
  <c r="D76" i="6" s="1"/>
  <c r="D81" i="6" s="1"/>
  <c r="J70" i="6" s="1"/>
  <c r="D233" i="7"/>
  <c r="D235" i="7" s="1"/>
  <c r="D237" i="7" s="1"/>
  <c r="F64" i="7"/>
  <c r="F65" i="7" s="1"/>
  <c r="F66" i="7" s="1"/>
  <c r="F68" i="7" s="1"/>
  <c r="F74" i="6"/>
  <c r="F76" i="6" s="1"/>
  <c r="F81" i="6" s="1"/>
  <c r="J72" i="6" s="1"/>
  <c r="D126" i="7"/>
  <c r="D127" i="7" s="1"/>
  <c r="D128" i="7" s="1"/>
  <c r="B130" i="7" s="1"/>
  <c r="E74" i="6"/>
  <c r="E76" i="6" s="1"/>
  <c r="E81" i="6" s="1"/>
  <c r="J71" i="6" s="1"/>
  <c r="K125" i="6"/>
  <c r="K126" i="6"/>
  <c r="K129" i="6" s="1"/>
  <c r="D26" i="7"/>
  <c r="D27" i="7" s="1"/>
  <c r="F27" i="7" s="1"/>
  <c r="C20" i="6"/>
  <c r="J125" i="6"/>
  <c r="J126" i="6" s="1"/>
  <c r="J129" i="6" s="1"/>
  <c r="E160" i="7"/>
  <c r="F158" i="7"/>
  <c r="I125" i="6"/>
  <c r="I126" i="6"/>
  <c r="I129" i="6" s="1"/>
  <c r="C125" i="6" s="1"/>
  <c r="C126" i="6" s="1"/>
  <c r="C128" i="6" l="1"/>
  <c r="K70" i="6"/>
  <c r="I71" i="6" s="1"/>
  <c r="G211" i="6"/>
  <c r="G213" i="6"/>
  <c r="G215" i="6" s="1"/>
  <c r="G216" i="6" s="1"/>
  <c r="G217" i="6" s="1"/>
  <c r="G220" i="6" s="1"/>
  <c r="G221" i="6" s="1"/>
  <c r="B222" i="6" s="1"/>
  <c r="B224" i="6" s="1"/>
  <c r="B30" i="7"/>
  <c r="B29" i="7"/>
  <c r="J67" i="7"/>
  <c r="F69" i="7" s="1"/>
  <c r="K71" i="6"/>
  <c r="D238" i="7"/>
  <c r="D239" i="7" s="1"/>
  <c r="D242" i="7" s="1"/>
  <c r="F160" i="7"/>
  <c r="G158" i="7"/>
  <c r="G159" i="7" s="1"/>
  <c r="G160" i="7" s="1"/>
  <c r="F70" i="7" l="1"/>
  <c r="F71" i="7" s="1"/>
  <c r="D73" i="7" s="1"/>
  <c r="B223" i="6"/>
  <c r="J160" i="7"/>
  <c r="D243" i="7"/>
  <c r="D244" i="7" s="1"/>
  <c r="B246" i="7" s="1"/>
  <c r="H72" i="6"/>
  <c r="H74" i="6" s="1"/>
  <c r="I72" i="6"/>
  <c r="D75" i="7" l="1"/>
  <c r="D76" i="7"/>
  <c r="B268" i="3"/>
  <c r="B267" i="3"/>
  <c r="B266" i="3"/>
  <c r="B273" i="3" s="1"/>
  <c r="B265" i="3"/>
  <c r="B272" i="3" s="1"/>
  <c r="A129" i="1"/>
  <c r="B269" i="3" l="1"/>
  <c r="B271" i="3" s="1"/>
  <c r="B274" i="3" s="1"/>
  <c r="F225" i="3" l="1"/>
  <c r="F228" i="3" s="1"/>
  <c r="F230" i="3" s="1"/>
  <c r="D225" i="3"/>
  <c r="D228" i="3" s="1"/>
  <c r="B225" i="3"/>
  <c r="B228" i="3" s="1"/>
  <c r="D230" i="3" l="1"/>
  <c r="B230" i="3"/>
  <c r="D234" i="3" l="1"/>
  <c r="E234" i="3" s="1"/>
  <c r="B99" i="1" l="1"/>
  <c r="A99" i="1"/>
  <c r="A95" i="1"/>
  <c r="G200" i="3" l="1"/>
  <c r="C200" i="3"/>
  <c r="E198" i="3"/>
  <c r="B198" i="3"/>
  <c r="C190" i="3"/>
  <c r="C188" i="3"/>
  <c r="C64" i="4"/>
  <c r="C63" i="4"/>
  <c r="C56" i="4"/>
  <c r="C207" i="3"/>
  <c r="D207" i="3"/>
  <c r="B207" i="3"/>
  <c r="C167" i="3"/>
  <c r="B168" i="3" s="1"/>
  <c r="B169" i="3" s="1"/>
  <c r="B170" i="3" s="1"/>
  <c r="B74" i="1"/>
  <c r="B76" i="1" s="1"/>
  <c r="E116" i="3"/>
  <c r="E115" i="3"/>
  <c r="E114" i="3"/>
  <c r="E113" i="3"/>
  <c r="E109" i="3"/>
  <c r="E107" i="3"/>
  <c r="E108" i="3"/>
  <c r="E106" i="3"/>
  <c r="E105" i="3"/>
  <c r="D118" i="3"/>
  <c r="C118" i="3"/>
  <c r="D111" i="3"/>
  <c r="C111" i="3"/>
  <c r="C201" i="3" l="1"/>
  <c r="F201" i="3"/>
  <c r="C191" i="3"/>
  <c r="C192" i="3" s="1"/>
  <c r="C58" i="4"/>
  <c r="C59" i="4" s="1"/>
  <c r="C57" i="4"/>
  <c r="D120" i="3"/>
  <c r="E111" i="3"/>
  <c r="E118" i="3"/>
  <c r="C120" i="3"/>
  <c r="D121" i="3" l="1"/>
  <c r="C60" i="4"/>
  <c r="C121" i="3"/>
  <c r="D53" i="1"/>
  <c r="C53" i="1"/>
  <c r="D47" i="1"/>
  <c r="C47" i="1"/>
  <c r="D36" i="4"/>
  <c r="D37" i="4" s="1"/>
  <c r="C36" i="4"/>
  <c r="C54" i="1" l="1"/>
  <c r="C57" i="1" s="1"/>
  <c r="C56" i="1"/>
  <c r="C61" i="4"/>
  <c r="C66" i="4"/>
  <c r="D56" i="1"/>
  <c r="D54" i="1"/>
  <c r="D38" i="4"/>
  <c r="D39" i="4" s="1"/>
  <c r="D40" i="4" s="1"/>
  <c r="E41" i="4" s="1"/>
  <c r="E42" i="4" s="1"/>
  <c r="C37" i="4"/>
  <c r="C38" i="4" s="1"/>
  <c r="C39" i="4" s="1"/>
  <c r="C40" i="4" s="1"/>
  <c r="I93" i="3"/>
  <c r="C93" i="3" s="1"/>
  <c r="I92" i="3"/>
  <c r="C91" i="3" s="1"/>
  <c r="I91" i="3"/>
  <c r="C92" i="3" s="1"/>
  <c r="H80" i="3"/>
  <c r="B77" i="3" s="1"/>
  <c r="H81" i="3"/>
  <c r="B79" i="3" s="1"/>
  <c r="H79" i="3"/>
  <c r="B78" i="3" s="1"/>
  <c r="M85" i="3"/>
  <c r="K86" i="3"/>
  <c r="I62" i="3"/>
  <c r="E62" i="3"/>
  <c r="C58" i="1" l="1"/>
  <c r="D58" i="1"/>
  <c r="D57" i="1"/>
  <c r="C94" i="3"/>
  <c r="C42" i="4"/>
  <c r="D41" i="4"/>
  <c r="D42" i="4" s="1"/>
  <c r="J62" i="3"/>
  <c r="E15" i="4" l="1"/>
  <c r="F15" i="4"/>
  <c r="F16" i="4" s="1"/>
  <c r="D15" i="4"/>
  <c r="D16" i="4" s="1"/>
  <c r="D18" i="4" s="1"/>
  <c r="D19" i="4" s="1"/>
  <c r="C4" i="4"/>
  <c r="E16" i="4" l="1"/>
  <c r="F17" i="4" s="1"/>
  <c r="F18" i="4" s="1"/>
  <c r="F19" i="4" s="1"/>
  <c r="E17" i="4"/>
  <c r="E18" i="4" l="1"/>
  <c r="E19" i="4" s="1"/>
  <c r="B81" i="3" l="1"/>
  <c r="C79" i="3"/>
  <c r="C85" i="3" s="1"/>
  <c r="G85" i="3" l="1"/>
  <c r="C49" i="3" l="1"/>
  <c r="C53" i="3" s="1"/>
  <c r="B42" i="3"/>
  <c r="C44" i="3" s="1"/>
  <c r="B41" i="3"/>
  <c r="B40" i="3"/>
  <c r="C21" i="3"/>
  <c r="C22" i="3" s="1"/>
  <c r="C15" i="3"/>
  <c r="C16" i="3" s="1"/>
  <c r="H5" i="3"/>
  <c r="H6" i="3"/>
  <c r="H7" i="3"/>
  <c r="H8" i="3"/>
  <c r="H9" i="3"/>
  <c r="H10" i="3"/>
  <c r="H11" i="3"/>
  <c r="H4" i="3"/>
  <c r="H13" i="1"/>
  <c r="I13" i="1" s="1"/>
  <c r="C13" i="1"/>
  <c r="H12" i="1"/>
  <c r="I12" i="1" s="1"/>
  <c r="C12" i="1"/>
  <c r="H11" i="1"/>
  <c r="I11" i="1" s="1"/>
  <c r="C11" i="1"/>
  <c r="H10" i="1"/>
  <c r="I10" i="1" s="1"/>
  <c r="C10" i="1"/>
  <c r="H9" i="1"/>
  <c r="I9" i="1" s="1"/>
  <c r="C9" i="1"/>
  <c r="H8" i="1"/>
  <c r="I8" i="1" s="1"/>
  <c r="C8" i="1"/>
  <c r="H7" i="1"/>
  <c r="I7" i="1" s="1"/>
  <c r="C7" i="1"/>
  <c r="C26" i="3" l="1"/>
  <c r="C28" i="3" s="1"/>
</calcChain>
</file>

<file path=xl/sharedStrings.xml><?xml version="1.0" encoding="utf-8"?>
<sst xmlns="http://schemas.openxmlformats.org/spreadsheetml/2006/main" count="1907" uniqueCount="1161">
  <si>
    <t>I have left some notes next to some exercises or tried to add a few extra sentences in most places for you to understand the needed line of thinking in the exercise.</t>
  </si>
  <si>
    <t>You should be able to click on every cell and then see what formula I use.</t>
  </si>
  <si>
    <t>Net income</t>
  </si>
  <si>
    <t>Total revenue</t>
  </si>
  <si>
    <t>Assets</t>
  </si>
  <si>
    <t>Liabilities and Equity</t>
  </si>
  <si>
    <t>Total Equity</t>
  </si>
  <si>
    <t>In order to "drag" the formula, you must lock your total amount in the division</t>
  </si>
  <si>
    <t>You must look at the relative change in order to determine the biggest change and NOT absolute change</t>
  </si>
  <si>
    <t>Vertical - Current Assets 2021</t>
  </si>
  <si>
    <t>Horizontal Current Assets</t>
  </si>
  <si>
    <t>Absolute</t>
  </si>
  <si>
    <t>Relative</t>
  </si>
  <si>
    <t>Cash</t>
  </si>
  <si>
    <t>Largest</t>
  </si>
  <si>
    <t>Biggest change</t>
  </si>
  <si>
    <t>AR</t>
  </si>
  <si>
    <t>Marketable Securities</t>
  </si>
  <si>
    <t>Inventories</t>
  </si>
  <si>
    <t>Prepaid expenses</t>
  </si>
  <si>
    <t>Other</t>
  </si>
  <si>
    <t>Total Current Assets</t>
  </si>
  <si>
    <t>The increasing debt to equity ratio means that the company's financial leverage is increasing, meaning that it is now financing its assets relatively more with debt rather than equity. Shareholders would be happy with such decision as financial leverage directly links with the ROE - the higher the debt/equity, the higher the ROE. They would therefore assume that having more debt in the company will increase their returns, however one must not forget the rate of return trap. With debt increasing there is also a high chance for the company to go bankrupt and then to be unable to repay the loans and the interest with shareholders being last in line to get their money back.</t>
  </si>
  <si>
    <t xml:space="preserve">1. The decrease in current ratio is preffered by the shareholders as it means that the working capital has decreased which puts the company into a benefitial situation since long term liabilities are not used anymore to finance current assets and thus the company is saving money. </t>
  </si>
  <si>
    <t>The increase in debt/equity ratio means that the financial leverage has increased meaning that shareholders are benefiting from an increase in ROE and enjoying higher returns.</t>
  </si>
  <si>
    <t>A decrease in the opperating efficiency ratio means that overall the operating profit has decreased which is not preffered by the shareholders as it will consequently lead to a decrease in the overall returns of the company</t>
  </si>
  <si>
    <t>2. The reporting date of a company does have an influence and therefore shouldn't be different when two companies are compared. This is due to the fact the balance sheet shoes the situation on the last day of the reporting period and both companies can have differences in terms of amounts of items reflected in the accounts.</t>
  </si>
  <si>
    <t>1. A base-year comparison is used when someone wants to determine if a change in the results/accounts is a one time occurance or a trend when comparing a few years to a base year.</t>
  </si>
  <si>
    <t>2. Vertical analysis is benefitial in situations where one wants to see a composition of a company's accounts in terms of percentage and therefore for example determine the main area of focus of a company.</t>
  </si>
  <si>
    <t>3. Horizontal analysis should be done in both absolute and relative variances as absolute variance can help to clearly see how much was an increase or a decrease in a particular account over a year whereas a relative variance can help determine which account experienced the biggest change and where the focus of a company should be placed on.</t>
  </si>
  <si>
    <t xml:space="preserve">1. The operating efficiency ratio looks at the relation between Gross Operating Profit and Total Revenue. It shows how efficient the operating department is by showing how much gross operating profit a company gets to keep after the cost of sales and operating expenses have been subtracted. A way that Operating Efficiency trend and Net income trend are not correlated has to do with everything that come after the Gross Opperating Profit. Fixed costs will remain the same, hence these won't be the cause for a change, however there are still the following costs to consider: Taxes, Interest, Amortization and Depreciation. If there is a change in the interest that has to be payed or a change in the taxes, while the operating efficiency ratio might increase, the net income will decrease as more costs will be deducted. Another part is that if the company bought a lot of equipment, while the operating efficiency ratio might increase, the depreciation will also increase and therefore income will become less. </t>
  </si>
  <si>
    <t> </t>
  </si>
  <si>
    <t xml:space="preserve"> Accounts Payable </t>
  </si>
  <si>
    <t xml:space="preserve"> Accrued payroll </t>
  </si>
  <si>
    <t xml:space="preserve"> Dividends Payable </t>
  </si>
  <si>
    <t xml:space="preserve"> Current part LT debt </t>
  </si>
  <si>
    <t xml:space="preserve"> Long term Loan </t>
  </si>
  <si>
    <t xml:space="preserve">Total Liabilities </t>
  </si>
  <si>
    <t xml:space="preserve"> Common Stock </t>
  </si>
  <si>
    <t xml:space="preserve"> Paid in capital </t>
  </si>
  <si>
    <t xml:space="preserve"> Retained Earnings </t>
  </si>
  <si>
    <t>Total Liabilities &amp; Equity</t>
  </si>
  <si>
    <t>POSSIBLE OPTIONS OF RATIOS:</t>
  </si>
  <si>
    <t>D/E Ratio</t>
  </si>
  <si>
    <t>Assets/Equity</t>
  </si>
  <si>
    <t>Assets/Liability</t>
  </si>
  <si>
    <r>
      <t xml:space="preserve">Creditors: </t>
    </r>
    <r>
      <rPr>
        <sz val="11"/>
        <color rgb="FF000000"/>
        <rFont val="Calibri"/>
        <family val="2"/>
      </rPr>
      <t>Since the financial leverage ratio went up, it shows that there is relatively more debt compared to equity looking back to 2020. More debts means more uncertainty that creditors are paid if the business goes bankrupt. Therefore creditors are not happy because of this type of development</t>
    </r>
    <r>
      <rPr>
        <b/>
        <sz val="12"/>
        <color rgb="FF000000"/>
        <rFont val="Calibri"/>
        <family val="2"/>
      </rPr>
      <t xml:space="preserve">. Shareholders: </t>
    </r>
    <r>
      <rPr>
        <sz val="11"/>
        <color rgb="FF000000"/>
        <rFont val="Calibri"/>
        <family val="2"/>
      </rPr>
      <t>Since the company has more debt compared to its equity, it means the chances shareholders will receive a larger return on their investment (their ROE will be increasing), therefore they should be happy. However, the rate of return trap has to be kept in mind in this case.</t>
    </r>
  </si>
  <si>
    <t>Table 1 Hotel ALFA</t>
  </si>
  <si>
    <t>Days open in January</t>
  </si>
  <si>
    <t>Sleeper nights</t>
  </si>
  <si>
    <t>Monthly rooms sold</t>
  </si>
  <si>
    <t>Paid Occupancy %</t>
  </si>
  <si>
    <t>Paid Occupancy %=</t>
  </si>
  <si>
    <t>Rooms sold/Rooms available</t>
  </si>
  <si>
    <t>Daily rooms sold = Monthly / Days in the month</t>
  </si>
  <si>
    <t>Daily rooms sold =</t>
  </si>
  <si>
    <t>Rooms available =</t>
  </si>
  <si>
    <t>Rooms sold / Paid occupancy % (reformulate the initial formula)</t>
  </si>
  <si>
    <t>Rooms available per day=</t>
  </si>
  <si>
    <t>Hotel &amp; Wellness Tax Haven</t>
  </si>
  <si>
    <t>Liabilities</t>
  </si>
  <si>
    <t>Current Assets</t>
  </si>
  <si>
    <t>Accounts Payable</t>
  </si>
  <si>
    <t>Accrued salaries</t>
  </si>
  <si>
    <t>Other operational payables</t>
  </si>
  <si>
    <t>Dividends payable</t>
  </si>
  <si>
    <t>Prepaid internet fees</t>
  </si>
  <si>
    <t>Current Part of LTD</t>
  </si>
  <si>
    <t>Prepaid insurance</t>
  </si>
  <si>
    <t>Total current liabilities</t>
  </si>
  <si>
    <t>Long Term Debt</t>
  </si>
  <si>
    <t xml:space="preserve">Solvency ratio </t>
  </si>
  <si>
    <t>Debt/equity for example</t>
  </si>
  <si>
    <t>Common Stock</t>
  </si>
  <si>
    <t>Additional paid in capital</t>
  </si>
  <si>
    <t>Retained earnings</t>
  </si>
  <si>
    <t>Liquidity</t>
  </si>
  <si>
    <t>Current ratio</t>
  </si>
  <si>
    <t>For solvency the ratios are decreasing and this is a positive development for the bank because the lower the debt/equity ratio the lower the financial leverage, thus its less risky for bank as they can invest less of their money.</t>
  </si>
  <si>
    <t>The current ratio is going up that means that there the bank can rest arrured that they will receive timely payment back because the company has more current assets covering the amount of the current liabilities.</t>
  </si>
  <si>
    <t>Good development: inventories are decreasing that is a positive because there is less risk such as less risk of it going bad/obsolete and theft. Cash is decreasing, meaning we use it elsewhere and it is not losing its value.</t>
  </si>
  <si>
    <t>Bad development: Accounts receivable are increasing meaning we are giving away more free loans to our customers and not get the money straight away.</t>
  </si>
  <si>
    <t>The above answers are the most popular ones, relating to LU3 knowledge.</t>
  </si>
  <si>
    <t>Revenues</t>
  </si>
  <si>
    <t>COS VC</t>
  </si>
  <si>
    <t>CMRw</t>
  </si>
  <si>
    <t>Fixed costs</t>
  </si>
  <si>
    <t>Income tax</t>
  </si>
  <si>
    <t>Variable cost</t>
  </si>
  <si>
    <t>Rooms</t>
  </si>
  <si>
    <t>F&amp;B</t>
  </si>
  <si>
    <t>Total</t>
  </si>
  <si>
    <t>Variable costs</t>
  </si>
  <si>
    <t xml:space="preserve">1. </t>
  </si>
  <si>
    <t>2.</t>
  </si>
  <si>
    <t>3.</t>
  </si>
  <si>
    <t>Revenue</t>
  </si>
  <si>
    <t>Ticker</t>
  </si>
  <si>
    <t>Company</t>
  </si>
  <si>
    <t>Days Inventory</t>
  </si>
  <si>
    <t>Days Sales Outstanding</t>
  </si>
  <si>
    <t>Days Payable</t>
  </si>
  <si>
    <t>IHP</t>
  </si>
  <si>
    <t>ACP</t>
  </si>
  <si>
    <t>PDP</t>
  </si>
  <si>
    <t>CCC</t>
  </si>
  <si>
    <t> HLT</t>
  </si>
  <si>
    <t>Hilton Worldwide Holdings Inc</t>
  </si>
  <si>
    <t> MAR</t>
  </si>
  <si>
    <t>Marriott International Inc</t>
  </si>
  <si>
    <t> HTHT</t>
  </si>
  <si>
    <t>Huazhu Group Ltd</t>
  </si>
  <si>
    <t>Lowest</t>
  </si>
  <si>
    <t> H</t>
  </si>
  <si>
    <t>Hyatt Hotels Corp</t>
  </si>
  <si>
    <t> CHH</t>
  </si>
  <si>
    <t>Choice Hotels International Inc</t>
  </si>
  <si>
    <t> WH</t>
  </si>
  <si>
    <t>Wyndham Hotels &amp; Resorts Inc</t>
  </si>
  <si>
    <t> STAY</t>
  </si>
  <si>
    <t>Extended Stay America Inc</t>
  </si>
  <si>
    <t> GHG</t>
  </si>
  <si>
    <t>GreenTree Hospitality Group Ltd</t>
  </si>
  <si>
    <t>Huazhu Group Ltd would require the lowest funding because their CCC is negative and they have therefore enough of capacity to finance their own operations through the use of a long PDP</t>
  </si>
  <si>
    <t>Old PDP</t>
  </si>
  <si>
    <t>New PDP</t>
  </si>
  <si>
    <t>Old Accounts Payable</t>
  </si>
  <si>
    <t>Find COS-&gt;</t>
  </si>
  <si>
    <t>23.78=12000000/x*365</t>
  </si>
  <si>
    <t>x=12000000/23.78*365</t>
  </si>
  <si>
    <t>COS</t>
  </si>
  <si>
    <t>Check!</t>
  </si>
  <si>
    <t>New Accounts payable</t>
  </si>
  <si>
    <t>x/184188393.61*365=20</t>
  </si>
  <si>
    <t>x=20/365*184188393.61</t>
  </si>
  <si>
    <t>NEW AP</t>
  </si>
  <si>
    <t>Change in AP</t>
  </si>
  <si>
    <t>OC = IHP + ACP</t>
  </si>
  <si>
    <t>Current assets = 200 = Inventory + Accounts receivable</t>
  </si>
  <si>
    <t>We have IHP, and need ACP, but don't have the accounts receivable</t>
  </si>
  <si>
    <t>Therefore, we have to find Inventory via the formula of IHP and then find AR</t>
  </si>
  <si>
    <t>20=x/1095*365</t>
  </si>
  <si>
    <t>x=20*1095/365</t>
  </si>
  <si>
    <t>Inventory!</t>
  </si>
  <si>
    <t>Accounts receivable</t>
  </si>
  <si>
    <t>OC=</t>
  </si>
  <si>
    <t>1.1</t>
  </si>
  <si>
    <t>Inventory turnover=</t>
  </si>
  <si>
    <t>COS/Av. Inventory</t>
  </si>
  <si>
    <t>Av. Inventory=</t>
  </si>
  <si>
    <t>Food Inventory=</t>
  </si>
  <si>
    <t>Watch out! They only have food inventory, that's why I used only food COS</t>
  </si>
  <si>
    <t>1.2</t>
  </si>
  <si>
    <t>An increase in turnover means that we sell our inventory more often, meaning that less cash is tied to it and we can therefore use it in better ways. For example, investing it into marketable securities and making it "work" for us. It also means that we need to pay less for storage costs thus leading to savings. Less risk of theft as well.</t>
  </si>
  <si>
    <t>Net working capital</t>
  </si>
  <si>
    <t xml:space="preserve">CA-CL </t>
  </si>
  <si>
    <t>(Current assets - Current liabilities)</t>
  </si>
  <si>
    <t>Sum of CA</t>
  </si>
  <si>
    <t>Sum of CL</t>
  </si>
  <si>
    <t xml:space="preserve">Net working Capital </t>
  </si>
  <si>
    <t xml:space="preserve">Current assets </t>
  </si>
  <si>
    <t xml:space="preserve">Current liabilities </t>
  </si>
  <si>
    <t>Marketable securities</t>
  </si>
  <si>
    <t>Accrued payroll</t>
  </si>
  <si>
    <t>Dividends Payable</t>
  </si>
  <si>
    <t>Food Inventory</t>
  </si>
  <si>
    <t>Current part LT debt</t>
  </si>
  <si>
    <t>Prepaid expense</t>
  </si>
  <si>
    <t xml:space="preserve">As ABC has large working capital gap to fill, opting for the agressive approach will mean to take a large amount of short-tem loans. Company ABC will have to go to the bank every time they need the extra funding to cover the gap, perhaps due to seasonality or because they have decided to take a very aggressive approach where they even want to finance some of their non-current assets by short term debt. The problem I see with this is that this is very risky as it means having to go to the bank very often and not establishing a credit line that allows ABC company to take out an amount of the loan whenever they want. Another key point will also be the interests payed which will be beneficial for company ABC as having short-term loans are cheaper since they do not have to pay long term interests. </t>
  </si>
  <si>
    <t>The additional funding required is 14000€ , since it goes from -6000 to +8000, which is a 14000 euro difference. The net working capital change has to therefore be financed by either payables, short term loan, long term loan or equity capital.</t>
  </si>
  <si>
    <t>1.</t>
  </si>
  <si>
    <t>Do not forget to take average Inventory, AP, AR</t>
  </si>
  <si>
    <t>NEW PDP</t>
  </si>
  <si>
    <t>Average</t>
  </si>
  <si>
    <t>Other accrued expenses</t>
  </si>
  <si>
    <t>New accounts payable</t>
  </si>
  <si>
    <t>19.58=x/14910622*365</t>
  </si>
  <si>
    <t>x=19.58/365*14910622</t>
  </si>
  <si>
    <t>-&gt;</t>
  </si>
  <si>
    <t>NEW Net Working Capital</t>
  </si>
  <si>
    <t>4.</t>
  </si>
  <si>
    <t>When decreasing the payment terms to the suppliers it affects the financing policy of the company in a negative way as you would now have 2 more days without cash</t>
  </si>
  <si>
    <t>Accounts Receivable</t>
  </si>
  <si>
    <t xml:space="preserve">As the current Cash Conversion Cycle is longer than the one of the past, the company will require more financing. The CCC indicates the number of days that are needed for the company to convert the investments it has made into cash flows. When this takes longer, meaning that more days are needed to get the money back from the investment, more external financing will be needed for the company. </t>
  </si>
  <si>
    <t>Cost of sales (Food only!)</t>
  </si>
  <si>
    <t xml:space="preserve">NWC is Current Assets - Current liabilities </t>
  </si>
  <si>
    <t>Relative change</t>
  </si>
  <si>
    <t xml:space="preserve"> Cash Up by 195%</t>
  </si>
  <si>
    <t>Marketable Securities Down 50%</t>
  </si>
  <si>
    <t>Inventory Down by 40%</t>
  </si>
  <si>
    <t xml:space="preserve">Current Liabilities </t>
  </si>
  <si>
    <t>NWC</t>
  </si>
  <si>
    <t xml:space="preserve">Change: </t>
  </si>
  <si>
    <r>
      <t xml:space="preserve">Q1: Management want its IHP and ACP to be as short as possible and its PDP as long as possible, because the inventory turnover will be the highest, the business will get its money back the quickest and take the longest time to pay of their debt, which is basically a free loan. Looking at the graph </t>
    </r>
    <r>
      <rPr>
        <b/>
        <sz val="11"/>
        <color theme="1"/>
        <rFont val="Calibri"/>
        <family val="2"/>
        <scheme val="minor"/>
      </rPr>
      <t>January and December</t>
    </r>
    <r>
      <rPr>
        <sz val="11"/>
        <color theme="1"/>
        <rFont val="Calibri"/>
        <family val="2"/>
        <scheme val="minor"/>
      </rPr>
      <t xml:space="preserve"> are the best months. With the highest PDP of 210 days and the lowests ACP of 52 days and the lowest IHP of 32 days. </t>
    </r>
  </si>
  <si>
    <t>Remember - shareholders are the happiest when the CCC is the lowest or even negative! That means suppliers are financing our activities.</t>
  </si>
  <si>
    <t>Q2: the CCC is calculated by IHP + ACP - PDP, therefore the highest the CCC can be has to do with a low PDP and high IHP and ACP (bad for the business). Looking at the graph July has the lowest PDP together with august (90). But July scores higher with ACP and IHP and therefore has the highest score. IHP +ACP - PDP of July = 53 + 77 - 90 = 40 days</t>
  </si>
  <si>
    <t xml:space="preserve">Q3: Step 1: the hotel could optimalise its inventory system, ensuring there is always enough stock, without overstocking its inventory. This will safe inventory costs (opens up cash) and mitigates certain risks of wastage and theft. </t>
  </si>
  <si>
    <t>This answer is rather extensive, but just so you get a better picture</t>
  </si>
  <si>
    <t xml:space="preserve">Step 2: the hotel should pressure its AR to pay them back quicker. If the money is back to our hotel sooner, we can use it to invest, put it in a bank account for interest etc. This will mitigate risk and provides us with cash earlier </t>
  </si>
  <si>
    <t>Step 3: the hotel could try to receive a longer period to pay its creditors, this extra time can be spend to re-invest the cash and generate more revenue. Also, this is a free or cheap loan and does not cost the hotel anything.</t>
  </si>
  <si>
    <t>Q1: When it comes to Net Working Capital, Shareholders do not like having a positive number for it (meaning that Current Assets are bigger than Current Liabilities) because that means that we have too much cash laying around or spent on inventory or given away as a free loan (accounts receivable) to our customers. This means that our cash is not increasing in value and is not generating any benefit for us which is therefore an opportunity cost. Shareholders would therefore prefer to have a negative net working capital because suppliers are financing our operations and we can use the leftover cash in some investments that can grow over time.</t>
  </si>
  <si>
    <t>Q2: Inventory turnover is the amount of times that the company sells out its stock fully in  a year. If the company has a high turnover, it means it sells its items rather quickly and doesn't keep to many of them, which is beneficial for the financial state of the company. This way, cash is not wasted on paying for a massive storage or letting products go obsolete if they go bad in case they are not sold for a long period of time. High inventory turnover is therefore the preference of shareholders.</t>
  </si>
  <si>
    <t>Table 2 Hotel BETA</t>
  </si>
  <si>
    <t>1.1.2020</t>
  </si>
  <si>
    <t>31.12.2020</t>
  </si>
  <si>
    <t>Food inventory</t>
  </si>
  <si>
    <t>?</t>
  </si>
  <si>
    <t>Food inventory turnover</t>
  </si>
  <si>
    <t>Cost of Food sold</t>
  </si>
  <si>
    <t>Christmas gift Iberico ham to employees</t>
  </si>
  <si>
    <t>COS / Average inventory</t>
  </si>
  <si>
    <t>Average inventory = (Beginning + Ending) / 2</t>
  </si>
  <si>
    <t>17 = 1,695,000 / X</t>
  </si>
  <si>
    <t>x = 1,695,000 / 17</t>
  </si>
  <si>
    <t>=</t>
  </si>
  <si>
    <t>&lt;- This is only the average, we now have to find the ending 2020</t>
  </si>
  <si>
    <t>(80,000+ ending)/2=</t>
  </si>
  <si>
    <t>80,000 + ending=</t>
  </si>
  <si>
    <t>Ending =</t>
  </si>
  <si>
    <t>Such a development should be regarded as a favourable one, since the company's aim is to have a high inventory turnover and in this case it is increasing.</t>
  </si>
  <si>
    <t>This is benefitial since it means that the company sells out its inventory more times during the year and therefore orders it initially in smaller quantities.</t>
  </si>
  <si>
    <t>The benefits of such a decision are - lower storage costs, lower guarding costs, lower costs in terms of inventory going bad or obsolete.</t>
  </si>
  <si>
    <t>Table 5 Beach Resort BV</t>
  </si>
  <si>
    <t>Euros</t>
  </si>
  <si>
    <t>31.12.2014</t>
  </si>
  <si>
    <t>31.12.2015</t>
  </si>
  <si>
    <t>31.12.2016</t>
  </si>
  <si>
    <t>31.12.2017</t>
  </si>
  <si>
    <t>Days</t>
  </si>
  <si>
    <t>Accounts Collection</t>
  </si>
  <si>
    <t>Inventory Holding</t>
  </si>
  <si>
    <t>Accounts payable</t>
  </si>
  <si>
    <t>Payment Deferral</t>
  </si>
  <si>
    <t>Sales in 2015</t>
  </si>
  <si>
    <t>Average accounts receivable / Credit sales * 365 = ACP</t>
  </si>
  <si>
    <t>Average accounts receivable = (2014 AR + 2015 AR) / 2</t>
  </si>
  <si>
    <t>Average accounts receivable =</t>
  </si>
  <si>
    <t>137,500 / x * 365 = 30</t>
  </si>
  <si>
    <t>137,500 / x = 30 / 365 =</t>
  </si>
  <si>
    <t xml:space="preserve">x = </t>
  </si>
  <si>
    <t>These are only the credit sales! So only 50% of the number we are looking for</t>
  </si>
  <si>
    <t>Sales in 2015=</t>
  </si>
  <si>
    <t>COS in 2016</t>
  </si>
  <si>
    <t>Average inventory / COS * 365 = IHP</t>
  </si>
  <si>
    <t>Average accounts payable / COS * 365 = PDP</t>
  </si>
  <si>
    <t>Average inventory in 2016</t>
  </si>
  <si>
    <t>Average accounts payable in 2016</t>
  </si>
  <si>
    <t>10762.5 / X * 365 = 20</t>
  </si>
  <si>
    <t>24216 / X * 365 = 45</t>
  </si>
  <si>
    <t>10762.5 / X = 20 / 365 =</t>
  </si>
  <si>
    <t>2416 / x = 45 / 365 =</t>
  </si>
  <si>
    <t>x =</t>
  </si>
  <si>
    <t>BOTH SHOULD BE ACCEPTED. Did both of them side by side to show you two different ways, but the outcome is essentially identical.</t>
  </si>
  <si>
    <t>Such a development is unfavourable from the perspective of the company, since that means that the company stays without money for a longer period of time.</t>
  </si>
  <si>
    <t>5.</t>
  </si>
  <si>
    <t>High inventory turnover is favoured by shareholders as it indicates that inventory is purchased in smaller quantaties and more often. It means making good use of the companys resources, as there are no additional costs arising (cost for storing the inventory or losing inventory (e.g. if it goes bad) which would be a waste of money). As shareholders are always interested in making the best use of their money they prefer inventory to be purchased rather often in smaller quantitites (high inventory turnover). Limitations of high inventory turnover, could be that in case of budgeting mistakes there is no room to react (e.g. you cannot fall back on reserves if the demand is higher than expected/calculated/bought inventory for)</t>
  </si>
  <si>
    <t>6.</t>
  </si>
  <si>
    <t>Receivables days should be kept low, because the money in AR cannot be used and the company is basically giving out a "free loan". Those can be decrease by making the payment terms more strict, accepting cash only or offering discounts for prompt payments. Payables, which should be increased for "free loan" reasons as well, can be increased by asking the supplier to grant more time to pay.</t>
  </si>
  <si>
    <t>Do an average of both years!</t>
  </si>
  <si>
    <t>Only use 2022 Income statement!</t>
  </si>
  <si>
    <t>Income Statement 2022</t>
  </si>
  <si>
    <t>Departmental Income</t>
  </si>
  <si>
    <t>Wellness</t>
  </si>
  <si>
    <t>Balance sheets</t>
  </si>
  <si>
    <t>Financially if inventory holding period goes down it is seen as a positive development because it means you are selling out faster and therefore there is no risk of it going bad, or theft, etc. Less cash is therefore tied to inventory and it can be used elsewhere.</t>
  </si>
  <si>
    <t>Table 5 : Budget Cash Flow</t>
  </si>
  <si>
    <t>Gross cash receipts are before taking anything (fee) off them</t>
  </si>
  <si>
    <t>Cash In</t>
  </si>
  <si>
    <t>Feb</t>
  </si>
  <si>
    <t>Cash received during the month</t>
  </si>
  <si>
    <t>Current month</t>
  </si>
  <si>
    <t xml:space="preserve">Creditcard gross cash receipts </t>
  </si>
  <si>
    <t xml:space="preserve">Credit card fee </t>
  </si>
  <si>
    <t>Net Income</t>
  </si>
  <si>
    <t>+</t>
  </si>
  <si>
    <t>-</t>
  </si>
  <si>
    <t>June</t>
  </si>
  <si>
    <t>July</t>
  </si>
  <si>
    <t>August</t>
  </si>
  <si>
    <t>CC sales</t>
  </si>
  <si>
    <t>CC sales after fee</t>
  </si>
  <si>
    <t>CC sales collected this month</t>
  </si>
  <si>
    <t>CC sales collected from last month</t>
  </si>
  <si>
    <t>Total CC collected</t>
  </si>
  <si>
    <t>Total cash collected</t>
  </si>
  <si>
    <t>The company should either keep a reserve of cash or try investing into short-term low risk options (for example, marketable securities) with the aim of increasing the amount of cash that they have</t>
  </si>
  <si>
    <t>Retained Earnings</t>
  </si>
  <si>
    <t>Calculations</t>
  </si>
  <si>
    <t>Depreciation</t>
  </si>
  <si>
    <t>Prepaid Expenses</t>
  </si>
  <si>
    <t>It can be concluded that the company is not in the youth phase anymore as it is has been actively selling its buildings and equipment in the past two years (thus the positive cash flow). Additionaly, the company is seeing a decrease in its operating cash flow, meaning that it may be trying to close off the business or that they are simply not as efficient anymore. What is more, the company is strongly focussed on repaying the loans and making their shareholders happy by buying back their shares (thus the negative cash flow).</t>
  </si>
  <si>
    <t>Land</t>
  </si>
  <si>
    <t>Buildings</t>
  </si>
  <si>
    <t>Equipment</t>
  </si>
  <si>
    <t>Total Revenues</t>
  </si>
  <si>
    <t>% revenues in cash</t>
  </si>
  <si>
    <t>Creditcard fee</t>
  </si>
  <si>
    <t>Credit Card payment delay</t>
  </si>
  <si>
    <t>4 days</t>
  </si>
  <si>
    <t>Only in cash</t>
  </si>
  <si>
    <t>Left in bank:</t>
  </si>
  <si>
    <t>Take off credit card fee:</t>
  </si>
  <si>
    <t>Received by card this month:</t>
  </si>
  <si>
    <t>Received by card from last month:</t>
  </si>
  <si>
    <t>Total cash received:</t>
  </si>
  <si>
    <t>Current Liabilities</t>
  </si>
  <si>
    <t>Inventory</t>
  </si>
  <si>
    <t>Interest</t>
  </si>
  <si>
    <t>Table 6</t>
  </si>
  <si>
    <r>
      <t xml:space="preserve">Beach Restaurant  ZULU                </t>
    </r>
    <r>
      <rPr>
        <b/>
        <sz val="12"/>
        <color rgb="FFFF0000"/>
        <rFont val="Calibri"/>
        <family val="2"/>
        <scheme val="minor"/>
      </rPr>
      <t>Budget  2023</t>
    </r>
  </si>
  <si>
    <t>Sales in January</t>
  </si>
  <si>
    <t>fixed cost*</t>
  </si>
  <si>
    <t xml:space="preserve"> per month</t>
  </si>
  <si>
    <t>% of sales on account</t>
  </si>
  <si>
    <t>variable cost*</t>
  </si>
  <si>
    <t>Credit card fee</t>
  </si>
  <si>
    <t>* cash out</t>
  </si>
  <si>
    <t>Credit card payment delay</t>
  </si>
  <si>
    <t>days</t>
  </si>
  <si>
    <t>Starting with</t>
  </si>
  <si>
    <t>On account (25% of sales)</t>
  </si>
  <si>
    <t>Sales on cash (Total - on account)</t>
  </si>
  <si>
    <t>Sales on account fee</t>
  </si>
  <si>
    <t>Sales on account after fee</t>
  </si>
  <si>
    <t>Sales on account received in Jan</t>
  </si>
  <si>
    <t>Sales on account of Jan received in Feb</t>
  </si>
  <si>
    <t>At the end of Jan we have -&gt;</t>
  </si>
  <si>
    <t>In an economic downturn, it is safer to have low operating leverage, meaning that the company doesn't have as many fixed costs and therefore can be more certain that they will be able to pay them</t>
  </si>
  <si>
    <t>In this case, the company has a very high amount of fixed costs compared to variable ones, this would be describe as high operating leverage.</t>
  </si>
  <si>
    <t>Therefore, the company should strive to convert some of the fixed costs into variable ones.</t>
  </si>
  <si>
    <t>For example, the company could change the contracts for their employees. Whose who have initial gotten paid a fixed amount could now be paid on an hourly basis.</t>
  </si>
  <si>
    <t>This company is in the growth stage because:</t>
  </si>
  <si>
    <t>The cash amount coming from operating activities has increased meaning that the companie's business is doing even better than better and thus it can be assumed that is growing.</t>
  </si>
  <si>
    <t>The fact that in both years the cash amount from investing activities was negative means that the company has been spending money on non currents assets and it can be assumed that they are investing into them in order to grow the business.</t>
  </si>
  <si>
    <t>While the cash received from financing activities is slighly lower than before, neverthless in both years those amounts were positive and substantial, meaning that the company has been taking out loans or asking shareholders to contribute to the company once again allowing the company to grow.</t>
  </si>
  <si>
    <t>Accrued Utilities</t>
  </si>
  <si>
    <t>Corporate Income Tax Payable</t>
  </si>
  <si>
    <t>Beverage Inventory</t>
  </si>
  <si>
    <t>Current Part: Long-term Loans</t>
  </si>
  <si>
    <t>Non F&amp;B inventory</t>
  </si>
  <si>
    <t>Acid test ratio 2022</t>
  </si>
  <si>
    <t>Quick assets (current assets - prepaid expenses - inventory)/Current liabilities</t>
  </si>
  <si>
    <t>The ratio tell us the ability of the company to meet its short-term obligations. The most interested party is the bank who will see that the company has the necessary amount of (quick) assets to cover for the current liabilities. With enough current assets to cover the current liabilities, the bank is confident that in the worst case scenario the company is able to pay them back.</t>
  </si>
  <si>
    <t>Non-Current Assets</t>
  </si>
  <si>
    <t>Long term Liabilities and Equity</t>
  </si>
  <si>
    <t>Long term Loans</t>
  </si>
  <si>
    <t>Common Stock Issued</t>
  </si>
  <si>
    <t>Accumulated Depreciation on Buildings</t>
  </si>
  <si>
    <t>Paid in Capital</t>
  </si>
  <si>
    <t>Accumulated Depreciation on Equipment</t>
  </si>
  <si>
    <t>Total Operated Departments</t>
  </si>
  <si>
    <t>Cost of Sales</t>
  </si>
  <si>
    <t>Average AP</t>
  </si>
  <si>
    <t>Average AR</t>
  </si>
  <si>
    <t>Total inventory in 2021</t>
  </si>
  <si>
    <t>Total inventory in 2022</t>
  </si>
  <si>
    <t>Average Inventory</t>
  </si>
  <si>
    <t>CCC=</t>
  </si>
  <si>
    <t>The one we should really improve is the IHP which is too high. The IHP should be as low as possible and thus, by buying less inventory. That way, less cash is tied to it and we can invest it smartly in marketable securities for example to make it more useful, we would also benefit by paying less of storage space, less chance to have expired food, less risk of theft. The downside is that in case of a big demand, we might struggle to provide it due to a too low inventory. Nevertheless, the company should buy less inventory.</t>
  </si>
  <si>
    <t>The downside is that in case of a big demand, we might struggle to provide it due to a too low inventory and therefore lose potential customers.</t>
  </si>
  <si>
    <t xml:space="preserve">The company prefers to have a high inventory turnover meaning that all the inventory is bought in smaller amounts and sold out many times a year. The reason is that it would mean we renew our inventory a lot per year so that way, less cash is tied to it and we can invest it smartly in marketable securities for example to make it more useful, we would also benefit by paying less of storage space, less chance to have expired food, less risk of theft. </t>
  </si>
  <si>
    <t>marketable securities</t>
  </si>
  <si>
    <t>equipment</t>
  </si>
  <si>
    <t xml:space="preserve">By looking at the cash flow numbers, the company of Rainex is in declining stage. We can see that in Investing cash flow where the value is positive growing - this means that the company is getting rid of all non current assets to close the company. Also a negative financing cashflow tells us that that they are paying all their loans back, getting ready to close down. Their operations are also not doing as good anymore and resulting in smaller cash inflows than before. I would not recommend buying this company. </t>
  </si>
  <si>
    <t xml:space="preserve">Investment </t>
  </si>
  <si>
    <t>Yearly interest</t>
  </si>
  <si>
    <t>FV</t>
  </si>
  <si>
    <t>Interest earned in 7 years</t>
  </si>
  <si>
    <t>The parts in red are not necessary, you can just use 4 for D and 10 for E, but since the investment was given, you can also figure out exactly how much those parts where. Either way, both cases will give you the same answer.</t>
  </si>
  <si>
    <t>5.1</t>
  </si>
  <si>
    <t>E</t>
  </si>
  <si>
    <t>Ke</t>
  </si>
  <si>
    <t>D</t>
  </si>
  <si>
    <t>Kd</t>
  </si>
  <si>
    <t>Tax (1-21%)</t>
  </si>
  <si>
    <t>D:E=0.4</t>
  </si>
  <si>
    <t>Many people make a mistake here by not understanding what Debt/Equity ratio means. If they say that it is 40%, that doesn't mean that Debt is 40%!!! It means that when financing the company, 4 parts come from debt and 10 come from equity. If you do 4 parts divided by 10 parts you will only then get 40%.</t>
  </si>
  <si>
    <t>D=4X</t>
  </si>
  <si>
    <t>E=10X</t>
  </si>
  <si>
    <t>To check:</t>
  </si>
  <si>
    <t>&lt;-D/E calculation</t>
  </si>
  <si>
    <t>WACC</t>
  </si>
  <si>
    <t>5.2 The company is characterized by a low leverage as the debt to equity ratio is 40%. Therefore, the Ke of equity can be lower than the Kd since shareholders don’t see that much risk compared to the usual typical situations when a company would have high leverage with big loans taken out.</t>
  </si>
  <si>
    <t>You have to use the WACC formula and think about the information that is given!</t>
  </si>
  <si>
    <t>The company uses no equity, therefore, the first half of WACC formula is gone!</t>
  </si>
  <si>
    <t>A</t>
  </si>
  <si>
    <t>B</t>
  </si>
  <si>
    <t>That also means that E+D=D (since E=0)</t>
  </si>
  <si>
    <t>C</t>
  </si>
  <si>
    <t xml:space="preserve">Companies discount their future cash flows to see the current benefits of those cashlows. It all has to do with the time value for money, which takes into consideration the risk associated with the investment that will generate the cashflows and other factors such as inflation. The value of those cashlows will be different in the future because the conditions such as the inflation will be different. Additionally, waiting for the cashflows to be generated also comes at a risk which needs to be considered. Therefore, companies discount the future benefits to see if in today's conditions, the investment would benefit the company or not. </t>
  </si>
  <si>
    <t xml:space="preserve">Profit is not the same as value as it does not take into consideration factors such as risk or inflation for example. The profit of a compamy can be seen on their Net income, however when determining the value of an investment, cash flows are taken as these consider the risk and time of the cashlows. A company might be profitable and appear profitable on paper because they are generating revenue, but the value might still be decreasing with every year. Net income for example removes  depreciation for example, and therefore does not always show the exact amount of cash that is in the company. Therefore, while income might be there, the company might not actually have enough cash to pay for all of their expenses. Therefore, the value of a company is not the same as the profil generated by the company. </t>
  </si>
  <si>
    <t>CF</t>
  </si>
  <si>
    <t>Years</t>
  </si>
  <si>
    <t xml:space="preserve">Payback </t>
  </si>
  <si>
    <t>Left after 1 year</t>
  </si>
  <si>
    <t>Left after 2 years and less than CF in year 3!</t>
  </si>
  <si>
    <t xml:space="preserve">The payback in this example is 2,20 years. This method is especially useful to see how long it will take to fully pay an investment back with the cash available in the company. It is useful as an initial indication of how </t>
  </si>
  <si>
    <t xml:space="preserve">long it will take before the investment is covered and additional revenue can be generated from this investment. </t>
  </si>
  <si>
    <t>An investment decision should never be solely made based on the Payback method as this capital budgetting model comes with limitations. In first place, the payback method does not consider the time value for money. As the cashflows</t>
  </si>
  <si>
    <t>are not discounted, the present value of those future cashflows is not known, meaning they do not consider the risk that comes with waiting for the cashflows. Additionally, the method does also not consider</t>
  </si>
  <si>
    <t xml:space="preserve">the cashflows that come after the payback period is determined, meaning it is not clear if the investment will continue to generate value or not. </t>
  </si>
  <si>
    <t>2.1 Income Statement</t>
  </si>
  <si>
    <t>YEAR</t>
  </si>
  <si>
    <t>Depreciation = (Investment - Scrap value)/ years of life</t>
  </si>
  <si>
    <t>Depreciation = (100000 - 0)/4</t>
  </si>
  <si>
    <t>Cost (fees and maintenance)</t>
  </si>
  <si>
    <t>Depreciation =</t>
  </si>
  <si>
    <t>EBITDA</t>
  </si>
  <si>
    <t>Payback calculation</t>
  </si>
  <si>
    <t>Full years</t>
  </si>
  <si>
    <t>Investment</t>
  </si>
  <si>
    <t>Cash Flow</t>
  </si>
  <si>
    <t>Still to be paid</t>
  </si>
  <si>
    <t>EBIT</t>
  </si>
  <si>
    <t>Interest (no mention of loan, so 0)</t>
  </si>
  <si>
    <t>EBT</t>
  </si>
  <si>
    <t>Tax (25%)</t>
  </si>
  <si>
    <t>Payback time</t>
  </si>
  <si>
    <t>HOWEVER, the company requires a MAXIMUM payback of 3 years</t>
  </si>
  <si>
    <t>Therefore, the investment should NOT be pursued, as it exceeds the required payback time.</t>
  </si>
  <si>
    <t>Scrap value (no mention so 0)</t>
  </si>
  <si>
    <t>(investment)</t>
  </si>
  <si>
    <t>CASH FLOW</t>
  </si>
  <si>
    <t>Annual interest rate has to be transformed!</t>
  </si>
  <si>
    <t>Monthly compound rate</t>
  </si>
  <si>
    <t>6 months</t>
  </si>
  <si>
    <t>6 periods</t>
  </si>
  <si>
    <t>Compounded monthly, therefore, 6 times!</t>
  </si>
  <si>
    <t>Invested initially</t>
  </si>
  <si>
    <t xml:space="preserve">future value of the 1000000 after compounding for 6 months </t>
  </si>
  <si>
    <t>1500000 at the end of 6 months, then we discount it to obtain its present value</t>
  </si>
  <si>
    <t>this should be deposited today in order to get 1500000 from the bank in 6 months</t>
  </si>
  <si>
    <t>1. The given information is not enough to make the decision, because firstly both projects are measured differently. The prefference in this case would be for both of them to be measure in terms of NPV. Then, we would go for the project with the biggest NPV.</t>
  </si>
  <si>
    <t>2. Such a concept is called time value of money which refers to the fact that over time money looses value due to factors such as risk and inflation. Therefore, 100 euros received one year later will always be worth less than 100 euros received today. For example, if we encounter inflation and all of the prices suddenly go up, we would need more money to buy the same thing one year later, which would mean that the same amount of money that we had before would be worth less.</t>
  </si>
  <si>
    <t>3. It is known that in case of bancrupty, bank is always first in line to get their money back from the company, whereas the shareholders are last in line. Therefore, shareholders experience more risk when giving money to the company when compared to the bank. Thus, in order to protect themselves, they ask for higher returns and those returns are called Ke.</t>
  </si>
  <si>
    <t>Current share price:</t>
  </si>
  <si>
    <t>Growth rate:</t>
  </si>
  <si>
    <t>Period (in years)</t>
  </si>
  <si>
    <t>Compounding with an annual rate for 10 years:</t>
  </si>
  <si>
    <t>Option A = compounded yearly with 10%</t>
  </si>
  <si>
    <t>Option B = compounded semi annualy with 4.9% (therefore we have to do it two times)</t>
  </si>
  <si>
    <t>Option A=</t>
  </si>
  <si>
    <t>Interest=</t>
  </si>
  <si>
    <t>Option B=</t>
  </si>
  <si>
    <t>This is bigger, thus better option!</t>
  </si>
  <si>
    <t>2.1</t>
  </si>
  <si>
    <t>LEFT</t>
  </si>
  <si>
    <t>2.2</t>
  </si>
  <si>
    <t>Salvage value</t>
  </si>
  <si>
    <t>Lifetime</t>
  </si>
  <si>
    <t>Depreciation per year</t>
  </si>
  <si>
    <t>cost</t>
  </si>
  <si>
    <t>2.3</t>
  </si>
  <si>
    <t xml:space="preserve">depreciation </t>
  </si>
  <si>
    <t>year 1</t>
  </si>
  <si>
    <t>year 2</t>
  </si>
  <si>
    <t>tax</t>
  </si>
  <si>
    <t>year 3</t>
  </si>
  <si>
    <t xml:space="preserve">net income </t>
  </si>
  <si>
    <t xml:space="preserve">salvage value </t>
  </si>
  <si>
    <t xml:space="preserve">Payback is 3,17 years </t>
  </si>
  <si>
    <t xml:space="preserve">cash flow </t>
  </si>
  <si>
    <t>2.4 Payback will be used to determine if the payback period is less than the established criterion. A drawback of the payback period is that is fails to consider time value of money. As the cashflows are not discounted, the present value of those future cash flows is not known meaning that they do not consider the risk that comes with waiting for the cashflows. It fails to consider/ignores the cashflow after payback is reached, meaning it is not clear if the investment will continue to generate value or not</t>
  </si>
  <si>
    <t>Since we have the NPV and PI of each project, we have to rewrite their formulas to somehow find the investment:</t>
  </si>
  <si>
    <t>NPV=</t>
  </si>
  <si>
    <t>Sum of DCF - Investment=&gt;Sum of DCF = NPV + Investment</t>
  </si>
  <si>
    <t xml:space="preserve">MAXIMUM investment </t>
  </si>
  <si>
    <t>CHECKING IF EITHER OF THE INVESTMENTS ARE DOABLE:</t>
  </si>
  <si>
    <t>PI=</t>
  </si>
  <si>
    <t>Sum of DCF</t>
  </si>
  <si>
    <t>NPV</t>
  </si>
  <si>
    <t>PI</t>
  </si>
  <si>
    <t>1.5</t>
  </si>
  <si>
    <t>Investment for A</t>
  </si>
  <si>
    <t>Investment for B</t>
  </si>
  <si>
    <t>NPV+Investment</t>
  </si>
  <si>
    <t>&lt;- this is what we use in the end</t>
  </si>
  <si>
    <t>1.5x=500,000+x</t>
  </si>
  <si>
    <t>4x=120,000+x</t>
  </si>
  <si>
    <t>x=1,000,000</t>
  </si>
  <si>
    <t>x=40,000</t>
  </si>
  <si>
    <t>TOO BIG!</t>
  </si>
  <si>
    <t>Doable</t>
  </si>
  <si>
    <t>Since the required investment for Project A is over the established maximum, the only feasible option would be project B.</t>
  </si>
  <si>
    <t>Given ratios:</t>
  </si>
  <si>
    <t>GOP</t>
  </si>
  <si>
    <t xml:space="preserve">profit margin </t>
  </si>
  <si>
    <t>Net Sales</t>
  </si>
  <si>
    <t>euros</t>
  </si>
  <si>
    <t>Income Tax</t>
  </si>
  <si>
    <t>Debt / Equity</t>
  </si>
  <si>
    <t xml:space="preserve">borrowing cost </t>
  </si>
  <si>
    <t>Rd</t>
  </si>
  <si>
    <t xml:space="preserve">return shareholders </t>
  </si>
  <si>
    <t>Re</t>
  </si>
  <si>
    <t>To find tax rate: 1) Use profit margin and net sales (revenue) to find the profit 2) Add tax to profit to find EBT 3) Divide Tax/EBT to find Tax%</t>
  </si>
  <si>
    <t xml:space="preserve">Profit= </t>
  </si>
  <si>
    <t>=&gt; Profit before tax=</t>
  </si>
  <si>
    <t>=&gt;Tax is therefore=</t>
  </si>
  <si>
    <t>Finding WACC components:</t>
  </si>
  <si>
    <t>Check the ratio!</t>
  </si>
  <si>
    <t>Debt</t>
  </si>
  <si>
    <t>step 1</t>
  </si>
  <si>
    <t>step 2</t>
  </si>
  <si>
    <t>wacc</t>
  </si>
  <si>
    <t>Equity</t>
  </si>
  <si>
    <t>3.1)</t>
  </si>
  <si>
    <t xml:space="preserve">FV = PV * (1+i)^n </t>
  </si>
  <si>
    <t>PV</t>
  </si>
  <si>
    <t>i</t>
  </si>
  <si>
    <t>N</t>
  </si>
  <si>
    <t xml:space="preserve"> € 3,000.00 </t>
  </si>
  <si>
    <t>3.2)</t>
  </si>
  <si>
    <t>PV = FV / (1+i)^n</t>
  </si>
  <si>
    <t xml:space="preserve"> € 12,000.00 </t>
  </si>
  <si>
    <t xml:space="preserve">5.1) </t>
  </si>
  <si>
    <t xml:space="preserve">(E/(E+D) * Re) </t>
  </si>
  <si>
    <t>(D/(E+D) * Rd) * (1 - Tax%)</t>
  </si>
  <si>
    <t xml:space="preserve">Debt:Equity ratio </t>
  </si>
  <si>
    <t>Check</t>
  </si>
  <si>
    <t xml:space="preserve">Tax % </t>
  </si>
  <si>
    <t>5.2)</t>
  </si>
  <si>
    <t>This is because Shareholders always experience the most risk. In case of the company going bankrupt, the bank is the first in line to get back their money and shareholders are the last. Therefore, Ke is conceptionally always higher than Kd.</t>
  </si>
  <si>
    <t xml:space="preserve">As the company is only financed by debt, we only use the last part of the formula. </t>
  </si>
  <si>
    <t>WACC % =</t>
  </si>
  <si>
    <t xml:space="preserve">(D/(E+D) * Rd) * (1 - Tax %) </t>
  </si>
  <si>
    <t xml:space="preserve">Debt </t>
  </si>
  <si>
    <t>Tax rate</t>
  </si>
  <si>
    <t>Financial instruments</t>
  </si>
  <si>
    <t>Long term loan A</t>
  </si>
  <si>
    <t>Bond B</t>
  </si>
  <si>
    <t>Long term loan C</t>
  </si>
  <si>
    <t>Bond D</t>
  </si>
  <si>
    <t>&lt;---</t>
  </si>
  <si>
    <t>Proof that bond D has been used to completely refinance the company debt in 2021.</t>
  </si>
  <si>
    <t>Variable expenses</t>
  </si>
  <si>
    <t>Taks</t>
  </si>
  <si>
    <t>Residual</t>
  </si>
  <si>
    <t>DCF</t>
  </si>
  <si>
    <t>Sum DCF</t>
  </si>
  <si>
    <t xml:space="preserve">The NPV is positive which means that the investment will generate value, If the investment has a positive NPV, then it should be pursued. </t>
  </si>
  <si>
    <t xml:space="preserve">The PI is also positive and this means we can accept the project since a positive PI means that the investment, is covered at least once with the cashflows. The higher the PI, the more value and better you cash flows generated by the operations of your company can easily cover your investment. This PI is 2,32 which means that the discounted future cash flows can easily cover the investment. </t>
  </si>
  <si>
    <t>Cash flows</t>
  </si>
  <si>
    <t>Left after 2 year</t>
  </si>
  <si>
    <t>Left after 3 year</t>
  </si>
  <si>
    <t>&lt;- The next cash flow is bigger than this, meaning we have to find the exact part that we will need</t>
  </si>
  <si>
    <t>Payback=</t>
  </si>
  <si>
    <t>As there is no established criterion, we cannot conclude if we would go for this project. If the manager was to say that the maximum is 3 years, we then wouldn’t go for this project. If it was for example 4 years, we would go for this project. The decision will always depend on the established maximum time.</t>
  </si>
  <si>
    <t xml:space="preserve">Payback ignores time value of money meaning that they do not consider the risk that comes with waiting for the cash flows. Additionally it does not consider the projected cash flows after the payback period, so its not clear if the investment will make value or not. I would use it when I need to regain invested capital within a certain time-frame as payback is useful because it determines the lenght of time required for the company to get its money back form the project while comparing annual cashflows to the project cost. </t>
  </si>
  <si>
    <t>In 5 years they want to have 10.000 euro</t>
  </si>
  <si>
    <t xml:space="preserve">9% annual interest rate </t>
  </si>
  <si>
    <t>But they are paying every 3 months (compounding quarterly)</t>
  </si>
  <si>
    <t>Rate per 3 months= 9% / 4</t>
  </si>
  <si>
    <t xml:space="preserve">N= 4* 5 = 20 </t>
  </si>
  <si>
    <t>deposit today to achieve the 10.000 euro target</t>
  </si>
  <si>
    <t>Needed end capital end year 10</t>
  </si>
  <si>
    <t>timeline in years</t>
  </si>
  <si>
    <t>Annual interest rate offered by bank</t>
  </si>
  <si>
    <t xml:space="preserve">Compounding </t>
  </si>
  <si>
    <t>semi-annual</t>
  </si>
  <si>
    <t>Both the periods and the interest rate have to be adjusted because the compounding is semi-annual!</t>
  </si>
  <si>
    <t>n= 10*2=</t>
  </si>
  <si>
    <t>i=4%/2=</t>
  </si>
  <si>
    <t>PV=</t>
  </si>
  <si>
    <t>Interest expense annually</t>
  </si>
  <si>
    <t>Tax</t>
  </si>
  <si>
    <t>ROA</t>
  </si>
  <si>
    <t>TA/EQUITY</t>
  </si>
  <si>
    <t xml:space="preserve">Economic Life </t>
  </si>
  <si>
    <t>10 years</t>
  </si>
  <si>
    <t>WACC= (E/(E+D))*Ke+(D/(D+E))*Kd*(1-Tax%)</t>
  </si>
  <si>
    <t>We have Re and Tax already, we need to find E, D and Kd</t>
  </si>
  <si>
    <t>TA/EQUITY=4</t>
  </si>
  <si>
    <t>TA=4</t>
  </si>
  <si>
    <t>EQUITY=1</t>
  </si>
  <si>
    <t>Fundamental accounting equation =&gt; total assets = liabilities + equity</t>
  </si>
  <si>
    <t>4=1+x =&gt; x=3 (liabilities)</t>
  </si>
  <si>
    <t>Investment is always the total amount of assets</t>
  </si>
  <si>
    <t>1,000,000 = 4 parts</t>
  </si>
  <si>
    <t>1 part = 1,000,000/4 = 250,000 = Equity</t>
  </si>
  <si>
    <t>For E you can use either 1 or 250,000</t>
  </si>
  <si>
    <t>Liabiltiies = 250,000*3=750,000</t>
  </si>
  <si>
    <t>For D you can use either 3 or 750,000</t>
  </si>
  <si>
    <t>Rd is same as interest %</t>
  </si>
  <si>
    <t>Interest% = interest/loan</t>
  </si>
  <si>
    <t>&lt;- Rd</t>
  </si>
  <si>
    <t>WACC=</t>
  </si>
  <si>
    <t>((1/(1+3)*12%)+((3/(1+3))*5.33%*(1-25%)</t>
  </si>
  <si>
    <t>Effect on Cost of Debt (Rd): An increase in the tax rate will generally lead to a decrease in the cost of debt (Rd). This is because interest expenses on debt are tax-deductible for businesses. When the tax rate rises, the tax shield from deducting interest expenses becomes more valuable, effectively reducing the after-tax cost of debt.</t>
  </si>
  <si>
    <t>Effect on WACC: As the cost of debt (Rd) decreases due to the increased tax shield, the weighted average cost of capital (WACC) is likely to decrease as well. The formula for WACC includes a term that accounts for the after-tax cost of debt [(1 - Tc)] which will become more favorable with a higher tax rate.</t>
  </si>
  <si>
    <t>1.1 Based on the IRR, which is the discount rate at which the NPV is 0, I would choose the project of the Hotel Amsterdam Centraal. It has a IRR of 95%, higher than the IRRs of the other projects. The Hotel Amsterdam Zuid WTC has an IRR of 45% and the Hotel Duinweg project has an IRR of 35%.</t>
  </si>
  <si>
    <t>1.2 At a 5% discount rate, Iwould choose project Hotel Amsterdam Zuid WTC as it has a higher NPV (circa 1000000) compared to the other projects.</t>
  </si>
  <si>
    <t xml:space="preserve">1.3 There is no indifference point between Hotel Amsterdaam Centraal and Hotel Duinweg. BUT the indifference point between Hotel Amsterdaam Centraal and Hotel Amsterdam Zuid is when the discount rate is 15%. </t>
  </si>
  <si>
    <t>1.4 No, the company could not invest in one project with an NPV higher than 200000 with a discount rate of 50%. The project with the highest NPV at that level is Hotel Amsterdam Centraal, however its NPV is lower than 200000.</t>
  </si>
  <si>
    <t xml:space="preserve">1.5 An increase of 20% in inflation will result in an increase of the discount rates of the projects. The higher the discount rate, the lower the NPV of the project. Therefore, the NPV of the projects will be lower. </t>
  </si>
  <si>
    <t>Rev</t>
  </si>
  <si>
    <t>Scrap value</t>
  </si>
  <si>
    <t>Depr</t>
  </si>
  <si>
    <t>EBI</t>
  </si>
  <si>
    <t>Depr Addback</t>
  </si>
  <si>
    <t>Terminal value</t>
  </si>
  <si>
    <t>Discounted CF</t>
  </si>
  <si>
    <t>Sum=</t>
  </si>
  <si>
    <t>Cash Flows</t>
  </si>
  <si>
    <t>This is the IRR</t>
  </si>
  <si>
    <t>The IRR of a project determines the maximum WACC that can be taken before the NPV becomes negative. It is the maximum return that can be generated from the project. The limitation with IRR is that it will be higher if the initial cashflows are higher</t>
  </si>
  <si>
    <t>If the cashflows for the first years are higher than those in the next years, the IRR will be higher, making it seem like the investment is better while this isn't always the case. If project A has larger cashflows in the first 3 years than Investemnt B</t>
  </si>
  <si>
    <t xml:space="preserve">but investment B has 3 years of cashflows and additional years of cashflows that are small, the IRR will still be larger for Investment A while the NPV will be higher for Project B. </t>
  </si>
  <si>
    <t>In generale, one chooses the project with the highest NPV because the NPV is the sum of all discounted cashflows that will be generated from the investment - the initial investment. It shows how much value in the present will be gained from this i</t>
  </si>
  <si>
    <t xml:space="preserve">investment. NPV as a capital budgetting method is additioanlly very strong as it considers the time valze for money and uses cash flows instead of net income. One should still be careful though and also look at the PI because this one also shows </t>
  </si>
  <si>
    <t xml:space="preserve">How big compared to that initial investment the generated value will be. </t>
  </si>
  <si>
    <t xml:space="preserve">Growth rate </t>
  </si>
  <si>
    <t xml:space="preserve">Revenue </t>
  </si>
  <si>
    <t xml:space="preserve">Variable Costs </t>
  </si>
  <si>
    <t xml:space="preserve">Fixed costs </t>
  </si>
  <si>
    <t xml:space="preserve">Depreciation </t>
  </si>
  <si>
    <t xml:space="preserve">Interests </t>
  </si>
  <si>
    <t>Accum EBT</t>
  </si>
  <si>
    <t>Taxes 25%</t>
  </si>
  <si>
    <t xml:space="preserve">Net Income </t>
  </si>
  <si>
    <t>Terminal value calculation</t>
  </si>
  <si>
    <t>CF*(1+g)</t>
  </si>
  <si>
    <t xml:space="preserve">Cash flows </t>
  </si>
  <si>
    <t>WACC-g</t>
  </si>
  <si>
    <t>Sum</t>
  </si>
  <si>
    <t xml:space="preserve">The Profitability index determines how many times your Discounted CF can cover your investment. It is basically looking at how much larger your cashflows are compareed to your initial investment. If the PI is above 1, then that means that your investment it covered at least once with your cashflows. The higher than PI, the more value and better as your cashflows generated by the operations of your company can easily cover your investment. </t>
  </si>
  <si>
    <t>Terminal value = (Cash Flow of the last year)*(1+growth)</t>
  </si>
  <si>
    <t>WACC - growth</t>
  </si>
  <si>
    <t>Based on the calculations on the right side, the terminal value is:</t>
  </si>
  <si>
    <t xml:space="preserve">Terminal value = </t>
  </si>
  <si>
    <t>Terminal value = ( ) * (1+3%)</t>
  </si>
  <si>
    <t>12%-3%</t>
  </si>
  <si>
    <t>NPV = Present Value of all future Cash Flows - Present Value of investment</t>
  </si>
  <si>
    <t>Year</t>
  </si>
  <si>
    <t>Terminal value = () * (1+3%) / 9%</t>
  </si>
  <si>
    <t>Cash flow</t>
  </si>
  <si>
    <t>Discounted cash flows</t>
  </si>
  <si>
    <t>Profitability index = Present value of all future cash flows / Present value of investment</t>
  </si>
  <si>
    <t>Profitability Index=</t>
  </si>
  <si>
    <t>3.1 The NPV is positive, which means that the investment will generate profit. If the investment is porfitable, then it should be pursued.</t>
  </si>
  <si>
    <t>3.2 Profitability index is over 1 which also means that the investment will yield profit, therefore it should be pursued.</t>
  </si>
  <si>
    <t>Be careful about this question! They ask what would be the maximum price that we would pay! They simply want to know the sum of all the discounted future cashflows, since that is the most we would pay. If we pay more than what we will receive, it wouldn’t make sense to accept the project!</t>
  </si>
  <si>
    <t>Read carefully by how many percent each years grows!</t>
  </si>
  <si>
    <t>They try to trick you here by saying that we have a loan, but that has no impact for us!</t>
  </si>
  <si>
    <t xml:space="preserve">Tax </t>
  </si>
  <si>
    <t>No tax in Year 2, since we do a tax carry forward!</t>
  </si>
  <si>
    <t>Depreciation (addback)</t>
  </si>
  <si>
    <t>CFs</t>
  </si>
  <si>
    <t>Terminal Value</t>
  </si>
  <si>
    <t>NCFs</t>
  </si>
  <si>
    <t>DCFs</t>
  </si>
  <si>
    <t>NPV =</t>
  </si>
  <si>
    <t>This amount is the most that we would agree to pay! For example, if we had to invest 5,000,000 euros, our NPV would be negative and it wouldn't therefore make sense.</t>
  </si>
  <si>
    <t>1. It is understandable that the marketing manager decided to go for project A, as it has the higher NPV out of the two. This shows that in comparison to the the initial investment, project A brings a bigger value than project B while taking time value of money into consideration.</t>
  </si>
  <si>
    <t>2. The manager would go for project B because it has both a higher PI and higher IRR. Higher PI would mean that relative to its investment project B brings more value compared than project B. Therefore, if we had a lot of cash available to invest and the possibility to repeat the projects, it would be more benefitial to go for project B. As for IRR, it is benefitial to have a bigger one since that means that the project can accept more risk and is therefore better from that perspective.</t>
  </si>
  <si>
    <t>Sum of DCF - Investment</t>
  </si>
  <si>
    <t>=&gt;Sum of DCF=NPV + INVESTMENT</t>
  </si>
  <si>
    <t>=1.1</t>
  </si>
  <si>
    <t>This exercise is a rather difficult one! You have to rework the PI formula and then manage to solve equation by moving things around.</t>
  </si>
  <si>
    <t>=&gt;(100,000+x)/x=1.1</t>
  </si>
  <si>
    <t>=100,000=1.1x-x</t>
  </si>
  <si>
    <t>=100,000=0.1x</t>
  </si>
  <si>
    <t>=1,000,000=investment</t>
  </si>
  <si>
    <t>NO INTEREST NEEDED!</t>
  </si>
  <si>
    <t>CALCULATE THE TAX PERCENTAGE IN THE INITIALLY GIVEN CASH FLOW, SINCE WITHOUT INTEREST THE TAX PAID IS NOT THE SAME AND HAS TO BE RECALCULATED!</t>
  </si>
  <si>
    <t xml:space="preserve">years
</t>
  </si>
  <si>
    <t>2022 - Year 0</t>
  </si>
  <si>
    <t>Initial G</t>
  </si>
  <si>
    <t>Terminal value G</t>
  </si>
  <si>
    <t>income tax 30%, based on initial situation</t>
  </si>
  <si>
    <t>depreciation add back</t>
  </si>
  <si>
    <t xml:space="preserve">terminal value </t>
  </si>
  <si>
    <t>(sum of the discounted cash flows)</t>
  </si>
  <si>
    <t xml:space="preserve">discounted cash flows </t>
  </si>
  <si>
    <t xml:space="preserve">maximum purchasing price </t>
  </si>
  <si>
    <t>years</t>
  </si>
  <si>
    <t xml:space="preserve">investment </t>
  </si>
  <si>
    <t>IRR</t>
  </si>
  <si>
    <t xml:space="preserve">USING THE EXCEL IRR FORMULA </t>
  </si>
  <si>
    <t>=IRR(SELECT ALL THE CASH FLOWS)</t>
  </si>
  <si>
    <t>IRR is the maximum WACC that can be taken before NPV becomes negative. IRR is the discount rate at which the NPV of a project is 0. It is the maximum risk your project can take. The lower the IRR the less risk your project can take. Based on the IRR of this project, I would not invest in it because it can take little risk</t>
  </si>
  <si>
    <t>I would choose Project Central. You always choose the highest IRR and in the graph, it is not even visible when NPV = 0. Therefore the IRR of project Central is &gt; 50%</t>
  </si>
  <si>
    <t>This has to do with the timing of the Cash Flows. For project South, the line is steeper, meaning that they get the larger amounts of CF in the later years of the project.</t>
  </si>
  <si>
    <t>The indifference point between hotel North and Hotel South is when the IRR is 10%. This means that at the discount rate of 10%, both projects bring the same value.</t>
  </si>
  <si>
    <t>Yes, I would recommend Project Central, as the NPV at a discount rate of 50% is around 400.000.</t>
  </si>
  <si>
    <t>It is always better to base an investment decision on multiple CBMs. This is a clear example of this, as if you are just looking at the highest NPV on a discount rate of 0%, you would choose project South.</t>
  </si>
  <si>
    <t>However, if you would include the IRR in this decision making progress, it would be possible that Hotel Central can be more valuable. However, to make a thourough decision, you should know the hurdle rate (e.g WACC).</t>
  </si>
  <si>
    <t>to compare the outcome of the IRR. NPV comes with a few disadvantages, which is yet another reason for why it shouldn't be the only CBM.</t>
  </si>
  <si>
    <t xml:space="preserve">Years </t>
  </si>
  <si>
    <t>Fixed cost</t>
  </si>
  <si>
    <t>Tax (20%)</t>
  </si>
  <si>
    <t>Depreciation addback</t>
  </si>
  <si>
    <t>Relevant CF</t>
  </si>
  <si>
    <t>(Cflastyr * (1+g)) / (WACC - g)</t>
  </si>
  <si>
    <t>Total DCF</t>
  </si>
  <si>
    <t>g</t>
  </si>
  <si>
    <t>Maximum price we are willing to pay</t>
  </si>
  <si>
    <t xml:space="preserve">as this is the expected total present value of the future cash flows, if you pay/invest more you will not create value on the investment. </t>
  </si>
  <si>
    <t>Project A</t>
  </si>
  <si>
    <t>Project B</t>
  </si>
  <si>
    <t>Inflation is 2%</t>
  </si>
  <si>
    <t>9.1</t>
  </si>
  <si>
    <t xml:space="preserve">Since inflation rate is lower than IRR in both projects, technically speaking they should both still generate value to our company. </t>
  </si>
  <si>
    <t>However, if we were to only choose from one of them, we could go for Project B, since that one has a higher IRR meaning it can take on more risk in case the inflation rate goes even higher.</t>
  </si>
  <si>
    <t>On the other hand, if the Project A has a lower IRR, it most likely means that it has bigger cash flows in the final years. If the inflation is only 2% and we would use it as our discount rate, we might end up with bigger value with Project A.</t>
  </si>
  <si>
    <t>9.2</t>
  </si>
  <si>
    <t>It is known that in case of bankrupty the bank is always first in line to get their money back from the company, whereas the shareholders are last in line. Therefore, shareholders experience more risk when giving money to the company when comparing it to the bank. Thus, in order to protect themselves, they ask for a higher return and those returns are called Re.</t>
  </si>
  <si>
    <t>1. The PI and IRR do not inherently consider the total scale and size of investment. A project with a high PI and a modest IRR might be favored over a project with a lower PI but a much larger total return.</t>
  </si>
  <si>
    <t xml:space="preserve">2. They assume reinvestment of interim cash flows in projects with equal rates of return
</t>
  </si>
  <si>
    <t>Revenue year 1</t>
  </si>
  <si>
    <t>Annual revenue growth for yr 2 and 3</t>
  </si>
  <si>
    <t>EBITDA margin for all years</t>
  </si>
  <si>
    <t>Perpetual growth rate (g)(after year 3)</t>
  </si>
  <si>
    <t>Interest expense</t>
  </si>
  <si>
    <t>Discounted Cash flows</t>
  </si>
  <si>
    <t>Max price</t>
  </si>
  <si>
    <t>6.1 While IRR is useful tool as it considers time value of money, uses cash flows and indicate the relative value created, but it fails to take in consideration the size of the investment and will look at the percentage return instead, also it ignores the risk. For this reasons, it is wiser to combine the IRR with other tools such as the NPV and IRR that will complete what the IRR is not doing.</t>
  </si>
  <si>
    <t>6.2 While taking the highest NPV score is an important indication,it has an advantage and a disadvantage. The advantage is that the project with the highest NPV is the one created the most value at the certain discount rate, so it shows the absolute value created. The disadvantage is that it does not show the relative value created and the maximum risk the project can take showed with IRR. Therefore the best project is not always the one with the highest NPV as it also needs to have a high IRR, and project x could have the highest NPV while project y could have the highest IRR.</t>
  </si>
  <si>
    <t>6.3 Option B may have a larger scale or require a higher initial investment compared to other options. As a result, it generates larger absolute cash flows both in terms of inflows and outflows. The NPV takes into account the total magnitude of these cash flows, whereas the IRR is concerned with the percentage return on the initial investment.</t>
  </si>
  <si>
    <t>If Option B generates substantial cash flows that, even though it requires a larger initial investment, result in a higher total NPV compared to other options, it may have the highest NPV. However, the IRR might be lower because the larger investment leads to a lower percentage return on that investment.</t>
  </si>
  <si>
    <t>The timing of cash flows can also significantly impact the NPV and IRR of a project. Option B may have cash flows that occur earlier in the project's life compared to other options, leading to a higher NPV due to the time value of money. However, the IRR may be lower if the project's cash flows level off or decline in the later years, which could reduce the percentage return on the initial investment.</t>
  </si>
  <si>
    <t>1. Financial leverage shows how much of the company is financed through debt rather than Equity. High Financial leverage indicates that company has a relatively high amount of debt compared to equity, and low financial leverage shows that the amount of debt is relatively smaller. For example, there are two companies that have total assets of 1000 euros, yet company A finances them with 800 equity and 200 debt, and company B does it with 200 equity and 800 debt. It can be assumed that with the same amount for assets, both companies have the same chances of making the same net income (although it usually can be a bit lower due to higher interest payment within high leverage company). If both company A and B manage to generate a Net Income of 100, then shareholders of company A would get a ROE of 100/800=&gt;12.5% and company B would get 100/200=&gt;50%. This clearly shows how the higher the financial leverage - the higher the ROE. Basically, the less equity is used to make the same income, the bigger return it can yield.</t>
  </si>
  <si>
    <t>2. An extremely high leverage is not common as risks might be too high and debt has to be paid back while equity does not have to be paid back. Shareholders often forget about the rate of return trap, since the bank is always first in line to get their money back and interest is not optional and must be always paid!</t>
  </si>
  <si>
    <t>Possible answer:</t>
  </si>
  <si>
    <t>Using a base year comparison instead of a normal horizontal one allows for a more accurate assessment of performance over time, especially when there are significant changes in circumstances or leadership. The horizontal analysis only looks at one year comparison, which would not show us the full picture here. For the Hotel Eden in Argentina, I would choose 2017 as the base year, the year when I took over as the General Manager. This choice provides a clear starting point to evaluate improvements made under my leadership compared to the previous management. It eliminates any biases or differences in performance that might exist if we were to compare to a different year. This method highlights the impact of my strategies and decisions over the six-year period, offering a more meaningful demonstration of progress and success.</t>
  </si>
  <si>
    <t>1. Solvency ratio</t>
  </si>
  <si>
    <t>2. In order to understand the numbers easier, you can come up with numbers in both situations that would result in the same ratios.</t>
  </si>
  <si>
    <t>For example, if E/A=0.25, we could say that E=2.5 and A=10, because 2.5/10=0.25.</t>
  </si>
  <si>
    <t>This shows that if E/A goes up, then our financial leverage goes down, as now we have more equity for the same amount of assets than before, meaning that debt has gone down.</t>
  </si>
  <si>
    <t>The risk has consequently gone down in the company as there are less loans and interest to be paid.</t>
  </si>
  <si>
    <t>If E/A=0.3, we could say E=3 and A=10, because 3/10=0.3.</t>
  </si>
  <si>
    <t>3. The CFO's preference for looking at EBITDA (Earnings Before Interest, Taxes, Depreciation, and Amortization) margin instead of net income margin can be justified for several reasons, one of which is the exclusion of non-cash expenses like depreciation and amortization from EBITDA.
By focusing on EBITDA margin, the CFO is essentially looking at the core operational profitability of the business, without the influence of non-cash expenses that can distort net income. Depreciation and amortization are accounting measures that allocate the cost of assets over their useful lives, rather than representing actual cash expenditures. Therefore, excluding them from the margin calculation provides a clearer picture of the company's ability to generate profits from its core operations. The EBITDA Margin also excludes some fixed expenses that cannot be directly controlled by the management and hence should not impact how their performance is evaluated.</t>
  </si>
  <si>
    <t>Balance Sheet for the years 2021 and 2022 ending in december 31st</t>
  </si>
  <si>
    <t xml:space="preserve"> TOTAL ASSETS </t>
  </si>
  <si>
    <t xml:space="preserve">TOTAL LIABILITIES AND OWNERS' EQUITY </t>
  </si>
  <si>
    <t>Hotel Keynes- Result form Income Statement</t>
  </si>
  <si>
    <t>Income Statement for the year ended on 31 December 2021 and 2022</t>
  </si>
  <si>
    <t>Quick ratio = (current assets - inventory - prepaid expenses)/current liabilities</t>
  </si>
  <si>
    <t>The quick ratio has decreased and gone below 1, which means that shareholders are now happy, but the bank is not happy. The bank is not feeling safe anymore, as the company does not have enough quick assets to cover the current liabilities in case something goes wrong in the company and all quick assets need to be sold to pay back the loans.</t>
  </si>
  <si>
    <t>Solvency ratio = total assets/total liabilities</t>
  </si>
  <si>
    <t>The higher the TA/TL, the lower the financial leverage.</t>
  </si>
  <si>
    <t>This means that as the ratio has gone down, our financial leverage has increased meaning that the financial risk of the company is higher and the bank is not satisfied, but the shareholders are happy.</t>
  </si>
  <si>
    <t>Balance Sheet for the years 2021 and 2022</t>
  </si>
  <si>
    <t>Hotel Edelweiss- Income Statement</t>
  </si>
  <si>
    <t>Income Statement for the year ended on 31 December 2022</t>
  </si>
  <si>
    <t>Operated Departments</t>
  </si>
  <si>
    <t>Cost 
of Sales</t>
  </si>
  <si>
    <t>Payroll &amp; 
Related</t>
  </si>
  <si>
    <t>Other Direct Expenses</t>
  </si>
  <si>
    <t>Accommodation</t>
  </si>
  <si>
    <t>Food</t>
  </si>
  <si>
    <t>Beverage</t>
  </si>
  <si>
    <t>Non F&amp;B activities</t>
  </si>
  <si>
    <t>IHP = Av. Inventory / COS * 365</t>
  </si>
  <si>
    <t>ACP = Av. AR / Credit Sales * 365</t>
  </si>
  <si>
    <t>PDP = Av. AP / COS * 365</t>
  </si>
  <si>
    <t>1. CCC = IHP + ACP - PDP</t>
  </si>
  <si>
    <t>Average inventory =</t>
  </si>
  <si>
    <t>Average AR =</t>
  </si>
  <si>
    <t>Average AP =</t>
  </si>
  <si>
    <t>Credit sales =</t>
  </si>
  <si>
    <t>&lt;- no mention of sales on credit %, we use full revenue</t>
  </si>
  <si>
    <t>COS =</t>
  </si>
  <si>
    <t>IHP=</t>
  </si>
  <si>
    <t>ACP=</t>
  </si>
  <si>
    <t>PDP=</t>
  </si>
  <si>
    <t>2. This decision would mean we keep smaller amounts of inventory at once and hence sell out quicker, making the IHP lower. It would also mean there is less money spent on storage or security and less possibility of inventory going obsolete. However, the risk is that there may be sudden increases in demand which we would then not be able to meet and hence we would lose potential additional revenue and new customers.</t>
  </si>
  <si>
    <t>In 2022=</t>
  </si>
  <si>
    <t>4. If the NOWC goes up it means that we are not benefiting as much from the "free loans" from our suppliers and have to instead look for external financing like bank overdrafts, long term loans or even equity. This raises our financing costs and is not preferred by the company shareholders.</t>
  </si>
  <si>
    <t>Account payable</t>
  </si>
  <si>
    <t>Food revenue</t>
  </si>
  <si>
    <t>Beverage revenue</t>
  </si>
  <si>
    <t>Total COS (food + beverage)</t>
  </si>
  <si>
    <t>Total  revenue</t>
  </si>
  <si>
    <t>The NOWC has gone from a negative number to a positive one, which a negative development from the perspective of the shareholders or the company financing wise.</t>
  </si>
  <si>
    <t>That is because it means that we do not have enough accounts payable to finance our activities which we usually like to have as much as possible of due to them being "free loans".</t>
  </si>
  <si>
    <t>We would now have to look for external financing to be able to pay back our suppliers on time as we would not be fast enough in selling all of our inventory and getting the accounts receivable back since those amounts have gone up.</t>
  </si>
  <si>
    <t>3. In order to again decrease the NOWC the managers could do the following:</t>
  </si>
  <si>
    <t xml:space="preserve"> - Start buying less inventory</t>
  </si>
  <si>
    <t>- Offer discount in order for the customers to pay quicker</t>
  </si>
  <si>
    <t>- Change the policy to make the customers pay quicker</t>
  </si>
  <si>
    <t>- Ask the suppliers to allow us to pay them later</t>
  </si>
  <si>
    <t>1. Accounts receivable are our biggest concern.</t>
  </si>
  <si>
    <t>They have gone from a positive cash inflow (meaning our customers paid us money for their purchases on account) to a negative cash outflow (meaning we sold a lot of items on account and have not yet received the money).</t>
  </si>
  <si>
    <t>It means we gave way more "free loans" compared to the previous year which is not as beneficial for our company as we cannot use that money elsewhere.</t>
  </si>
  <si>
    <t>What we could do to make the customers pay us back quicker is either offer discounts if they pay us before the usual deadline or simply impose a stricter policy.</t>
  </si>
  <si>
    <t>2. We have a cash outflow in buildings and equipment meaning we spent money there which means we bought more buildings and equipment in both years.</t>
  </si>
  <si>
    <t>It could mean that the company is expanding/growing or trying to change some of its old equipment.</t>
  </si>
  <si>
    <t>1. The cash flow from operating activities has stayed relatively the same hence we could assume the company is in a mature stage where the sales are not growing exponentially but also not decreasing much.</t>
  </si>
  <si>
    <t>2. The cash flow from investing activities is a negative result meaning we spent money in those activities specifically mostly when purchasing marketable securities.</t>
  </si>
  <si>
    <t>It could be a sign that the company is growing although it is not really purchasing any PPE, hence it can also mean that it is in a mature stage and wants to make better use of its cash reserves.</t>
  </si>
  <si>
    <t>3. The cash from financing activities is a negative result meaning we spent money in those activities specifically in repaying loans and repurchasing shares.</t>
  </si>
  <si>
    <t>This is usually done by either mature or declining companies as part of them trying to close down their business.</t>
  </si>
  <si>
    <t>4. Overall I believe the company is in a mature stage, as it is still generating cash from its operations, not yet selling any of its PPE, but also not buying any new one, as well as slowly paying money to the bank and shareholders.</t>
  </si>
  <si>
    <t>I wouldn’t trust the given valuation table since based on the NPV which is more than 0 meaning we make value we should accept the project, yet the PI is less than 1 which would actually mean that NPV is supposed to be negative since if PI is less than 1 it means the benefits are smaller than the costs. Additionally, since the WACC% is bigger than the IRR% it means that the actual risk behind the investment is higher than the one that we can accept which once again means that the NPV is supposed to be negative. I would therefore would not make the decision based on the given data.</t>
  </si>
  <si>
    <t>Based on IRR only we would go for project A as it means it can take the biggest amount of risk.</t>
  </si>
  <si>
    <t>We are only given one NPV result which is for option B and as that is a positive one, we could say that we would go for it as it creates value for our business. At the same time, we can compare the WACC% of company C to its IRR which tells us that the NPV of company C would be negative as the WACC is higher than IRR meaning the actual risk is more than we can take.</t>
  </si>
  <si>
    <t>Based on the payback only we would go for project A as we get paid back the quickest, however it can be misleading as it might mean we get high cash flows in the first years and then barely anything later which might be very different for project B.</t>
  </si>
  <si>
    <t>Investment wise project C is the cheapest yet it does not generate any value, whereas project A is then the second cheapest. If we had a capital constraint of 2M we would simply not be able to go for project B.</t>
  </si>
  <si>
    <t>Overall, project B looks like a decent project based on all the information given to us with the only downside being the long payback period.</t>
  </si>
  <si>
    <t>We should not even consider project C as it would have a negative NPV and not bring as any value.</t>
  </si>
  <si>
    <t>We do not have enough information however to decide if project A is worth considering or is better than project B in all aspects, as the WACC and NPV are very important determinants to us, since NPV is considered the main capital budgetting model.</t>
  </si>
  <si>
    <t>Depreciation &amp; amortization</t>
  </si>
  <si>
    <t>Interest (WE IGNORE IT!)</t>
  </si>
  <si>
    <t>Capex</t>
  </si>
  <si>
    <t>NOWC change</t>
  </si>
  <si>
    <t>g, after year 3</t>
  </si>
  <si>
    <t>Revenue growth year 2</t>
  </si>
  <si>
    <t>Revenue growth year 3</t>
  </si>
  <si>
    <t>Capital expenditures, yearly</t>
  </si>
  <si>
    <t>Depreciation and Amortization expense each year</t>
  </si>
  <si>
    <t>Net Operating Working Capital year 1</t>
  </si>
  <si>
    <t>NOWC change year 2 and year 3 each</t>
  </si>
  <si>
    <t>Interest Expenses</t>
  </si>
  <si>
    <t>Total cash flows</t>
  </si>
  <si>
    <t>Sum of DCFS</t>
  </si>
  <si>
    <t>Company Excellent</t>
  </si>
  <si>
    <t>Revenue growth yr1 to 3yr</t>
  </si>
  <si>
    <t>EBITDA margin each year</t>
  </si>
  <si>
    <t>Depreciation &amp; Amortization each year</t>
  </si>
  <si>
    <t>Interest expense each year</t>
  </si>
  <si>
    <t>Capex each year</t>
  </si>
  <si>
    <t>Change in NOWC each year</t>
  </si>
  <si>
    <t>Revenues on credit</t>
  </si>
  <si>
    <t>NOPAT</t>
  </si>
  <si>
    <t>1. Hotel/lodging investments are considered higher risk than normal commercial real estate, such as residential housing, due to factors such as revenue volatility dependent on daily occupancy rates and room rates, high operating expenses, frequent capital expenditures for renovations and upgrades, sensitivity to market conditions and competition, operational complexity, and challenges in securing financing due to perceived risks by lenders. These factors collectively contribute to the increased risk associated with hotel/lodging investments compared to residential real estate.</t>
  </si>
  <si>
    <t>2. A long-term management agreement can negatively impact the value of a hotel's operations by reducing flexibility and limiting the owner's ability to adapt to changing market conditions or implement strategic initiatives.</t>
  </si>
  <si>
    <t>3. One reason it would be beneficial for a hotel operator to own the real estate in which it operates is increased control and potential for long-term value creation. By owning the property, the operator has greater autonomy over strategic decisions, such as renovations, expansions, or rebranding efforts, without being constrained by lease agreements or landlord restrictions. Additionally, owning the real estate allows the operator to capture the appreciation of property value over time, providing a potential source of additional revenue and enhancing the overall profitability of the business.</t>
  </si>
  <si>
    <t>4. One reason it could be disadvantageous for a hotel operator to own the real estate in which it operates is increased financial risk. Owning the property ties up significant capital, reducing liquidity and potentially limiting the operator's ability to invest in other strategic initiatives or respond to unforeseen market challenges. Additionally, fluctuations in property values or changes in market conditions can directly impact the operator's financial stability and overall profitability.</t>
  </si>
  <si>
    <t>1. When valuing hospitality real estate for purchase, it is generally better to base the valuation on the Net Initial Yield (NIY) rather than the Gross Initial Yield (GIY). The Net Initial Yield accounts for operating expenses and vacancies, providing a more accurate representation of the property's actual income potential. In contrast, the Gross Initial Yield only considers rental income without factoring in expenses, leading to an inflated valuation that may not reflect the property's true profitability or investment potential. Therefore, using the Net Initial Yield ensures a more realistic assessment of the property's value and potential returns.</t>
  </si>
  <si>
    <t>For the Real Estate Owner:</t>
  </si>
  <si>
    <t>Argument in Favor: Owning the real estate provides a stable and predictable income stream through lease payments from the hospitality operator. This steady cash flow can offer financial security and a reliable return on investment over the long term.</t>
  </si>
  <si>
    <t>Drawback: The real estate owner may face challenges in finding new tenants or repositioning the property if the existing hospitality operator vacates or terminates the lease. This can lead to periods of vacancy and potential revenue loss.</t>
  </si>
  <si>
    <t>Argument in Favor of not owning: Operating without the burden of owning real estate allows the hospitality operator to focus resources and efforts on core business activities such as guest experience, marketing, and operational efficiency. This flexibility can lead to agility in adapting to market trends and changing consumer preferences.</t>
  </si>
  <si>
    <t>Drawback of not owning: The operator may be subject to rental increases or lease renegotiations by the property owner, potentially impacting profitability. Additionally, without ownership of the real estate, the operator has limited control over property upgrades or modifications that could enhance the guest experience or operational efficiency.</t>
  </si>
  <si>
    <t>For the Operator:</t>
  </si>
  <si>
    <t>3. GIY = rental income / property value</t>
  </si>
  <si>
    <t>Rental income =</t>
  </si>
  <si>
    <t>GIY =</t>
  </si>
  <si>
    <t>Property value = Rental income / GIY</t>
  </si>
  <si>
    <t>4. When interest rates drop, the value of real estate generally tends to increase. Lower interest rates reduce borrowing costs for potential buyers, making financing more affordable and increasing demand for real estate. This heightened demand often leads to higher property prices as buyers are willing to pay more for properties, thereby driving up the overall value of real estate assets. Additionally, lower interest rates can stimulate economic growth, which further supports property values by boosting investor confidence and increasing demand for commercial and residential spaces.</t>
  </si>
  <si>
    <t>1. From a risk perspective, a long-term loan generally has a higher interest rate than a short-term loan due to several factors. Over time, the risk of inflation increases, eroding the purchasing power of money, so lenders demand higher rates to compensate. Additionally, the uncertainty regarding the borrower's ability to repay grows with time, as more opportunities for financial deterioration arise. Interest rate fluctuations also pose a risk, as lenders might miss out on higher rates in the future, and long-term loans reduce lender liquidity, tying up capital for extended periods. The increased uncertainty in predicting future economic conditions, borrower behavior, and financial markets further necessitates a risk premium, resulting in higher interest rates for long-term loans.</t>
  </si>
  <si>
    <t>1. Current ratio = current assets / current liabilities</t>
  </si>
  <si>
    <t>Current ratio in 2022:</t>
  </si>
  <si>
    <t>Current ratio in 2023:</t>
  </si>
  <si>
    <t xml:space="preserve">The current ratio has gone down meaning that the shareholders would be happy and the creditors (including our suppliers) would be not happy. This is because there are now less current assets for each euro of current liabilities and if anything goes wrong the company would barely have enough current assets to sell in order to cover those current liabilities fully. </t>
  </si>
  <si>
    <t>2. The item that changed the most on the balance sheet is the buildings row which has gone up by 4M euros meaning that we bought new buildings which can explain why cash has gone down by so much.</t>
  </si>
  <si>
    <t>2. ROE = net income / equity = profit margin * asset turnover * TA/ equity</t>
  </si>
  <si>
    <t>Profit margin = net income / revenue</t>
  </si>
  <si>
    <t>Asset turnover = revenue / TA</t>
  </si>
  <si>
    <t>ROE =</t>
  </si>
  <si>
    <t>Hotel Milei - Balance Sheet for the years 2022 and 2023 ending December 31st</t>
  </si>
  <si>
    <t>TOTAL CA =</t>
  </si>
  <si>
    <t>Total CL:</t>
  </si>
  <si>
    <t>Hotel Milei - From Income Statement for the year ended on 31 December 2022 and 2023</t>
  </si>
  <si>
    <t>Profit margin =</t>
  </si>
  <si>
    <t>Asset turnover=</t>
  </si>
  <si>
    <t>TA / Equity =</t>
  </si>
  <si>
    <t>ROE with Dupont analysis =</t>
  </si>
  <si>
    <t>Using 2023 numbers only:</t>
  </si>
  <si>
    <t>ACP = Av. Accounts Receivable / Credit sales * 365</t>
  </si>
  <si>
    <t>PDP = Av. Accounts Payable / COS * 365</t>
  </si>
  <si>
    <t>30% of total revenues is on account!!!</t>
  </si>
  <si>
    <t xml:space="preserve">Revenue on account = </t>
  </si>
  <si>
    <t>IHP =</t>
  </si>
  <si>
    <t>ACP =</t>
  </si>
  <si>
    <t xml:space="preserve">PDP = </t>
  </si>
  <si>
    <t>CCC =</t>
  </si>
  <si>
    <t>Inventory goes up by 25 000</t>
  </si>
  <si>
    <t>Accounts payable go up by 10 000</t>
  </si>
  <si>
    <t>Hence, the NOWC goes up by 25 000 - 10 000 = 15 000</t>
  </si>
  <si>
    <t>3. Accounts receivable have drastically gone up meaning we were giving away more "free loans" to our customers allowing them to receive our products right away but pay later meaning we had to get the money ourselves else where in the meantime while they take the time to pay us.</t>
  </si>
  <si>
    <t>Inventory has gone up meaning we had to get money to buy additional items for our stock which again means we needed to find financing for it.</t>
  </si>
  <si>
    <t>Accounts payable have gone down meaning we were using the "free loans" from our suppliers less and instead paying them right away and not benefiting from the possibility to pay for their products later and hence use it as a source of financing.</t>
  </si>
  <si>
    <t>4. New ACP =</t>
  </si>
  <si>
    <t>Same sales on account =</t>
  </si>
  <si>
    <t>X / same sales on account * 365 = new ACP</t>
  </si>
  <si>
    <t>X = new ACP / 365 * same sales on account</t>
  </si>
  <si>
    <t>X =</t>
  </si>
  <si>
    <t>New Average AR = X</t>
  </si>
  <si>
    <t>&lt;- we write an equation to express the new average accounts receivable</t>
  </si>
  <si>
    <t>&lt;- make sure you do not rewrite the numbers manually in the calculation but instead link them to previous cells</t>
  </si>
  <si>
    <t>&lt;- this only the average including the 2022 AR</t>
  </si>
  <si>
    <t>Old AR from 2022 =</t>
  </si>
  <si>
    <t>New 2023 AR = Average AR * 2 - old AR from 2022</t>
  </si>
  <si>
    <t>Average AR = (old AR from 2022 + new 2023 AR)/2</t>
  </si>
  <si>
    <t>New 2023 AR =</t>
  </si>
  <si>
    <t>Change in 2023 AR =</t>
  </si>
  <si>
    <t>The Operating CF indicates a positive and slightly growing cash flow over the years which would normally show that the company is mature. The financing CF is negative meaning the company paid back some loans and bought back some shares which is what matury or declining companies do. Hence, for investing CF option C would not be logical as it shows that the company is getting rid of its buildings and equipment which is only done in the declining stage. Option B would not be logical as it shows purchases of buildings and equipment which is normally done actively in the growth stage. Option A shows money spent in Marketable Securities which is what a company normally does when it has a lot of excess cash in the mature stage which is the case. Hence Option A is the right answer.</t>
  </si>
  <si>
    <t>March</t>
  </si>
  <si>
    <t>April</t>
  </si>
  <si>
    <t>May</t>
  </si>
  <si>
    <t xml:space="preserve">Delay </t>
  </si>
  <si>
    <t>30% in Cash in all months</t>
  </si>
  <si>
    <t>On Account</t>
  </si>
  <si>
    <t>On Account per day</t>
  </si>
  <si>
    <t>Days in the month</t>
  </si>
  <si>
    <t>On Account this month</t>
  </si>
  <si>
    <t>On Account from last month</t>
  </si>
  <si>
    <t xml:space="preserve">Total </t>
  </si>
  <si>
    <t>Company Jack Sparrow</t>
  </si>
  <si>
    <t>Corporate Income Tax</t>
  </si>
  <si>
    <t>2. The Discounted Cash Flow (DCF) value is the maximum price one should be willing to pay for an investment because it calculates the present value of all expected future cash flows, discounted back to today using a discount rate. This present value, known as the Net Present Value (NPV), represents the intrinsic worth of the investment. Paying more than the NPV means accepting a lower rate of return or overvaluing the investment. Therefore, the DCF value ensures you do not overpay and that the investment meets the required rate of return, making it the maximum price to justify the purchase financially. If you were to pay for your investment more than the NPV of your future cash flows you would not be making any value.</t>
  </si>
  <si>
    <t>1. The best reason for Zavi to own both the operations and the real estate for his expansion plans is to maintain complete control over the brand's unique and dynamic concept. By owning the real estate, Zavi can ensure that the frequent refurbishments and innovative changes to the hotel and F&amp;B operations can be implemented without restrictions or approval from external landlords. This autonomy allows for seamless execution of his vision, quick adaptations to the latest trends, and consistent quality and brand experience across all locations. Additionally, owning the real estate provides long-term financial stability and potential appreciation in property value, further enhancing the overall value and profitability of his business.</t>
  </si>
  <si>
    <t>2. The best reason for Zavi to own only the operations, while letting someone else own the real estate, is to significantly reduce the upfront capital investment and financial risk associated with purchasing property. By focusing solely on operations, Zavi can allocate more resources towards maintaining the innovative and trendy aspects of the hotel and F&amp;B offerings, ensuring the concept remains fresh and appealing. This approach allows for faster and more flexible expansion into multiple cities without being tied down by the high costs and potential market fluctuations of real estate ownership. Additionally, leasing property can provide Zavi with greater agility to adapt to changing market conditions and trends, as he can relocate or exit underperforming locations more easily than if he owned the real estate.</t>
  </si>
  <si>
    <t>If rental income was for example 1 euro and the investor would be willing to pay 25 times more, the property value would be 1 * 25 = 25 euros. Then, the Gross Initial Yield would be 1 euro / 25 euros =</t>
  </si>
  <si>
    <t>Option</t>
  </si>
  <si>
    <t>NA</t>
  </si>
  <si>
    <t>NPV in $</t>
  </si>
  <si>
    <t>Payback</t>
  </si>
  <si>
    <t>Investment ($)</t>
  </si>
  <si>
    <t>Based on the analysis, Option B is the most attractive investment as it offers a high NPV of $100,000 with a moderate IRR of 13% and a WACC of 10%, indicating a good balance of return and risk. Although its payback period is slightly longer at 3.5 years, the lower cost of capital enhances its appeal. Option A ranks second, providing a high IRR of 18%, lowest required investment and the shortest payback period of 3 years, but with a lower NPV of $90,000 and lacking WACC data, making it a slightly riskier choice. Option C, despite having the highest NPV of $105,000, is the least attractive due to its highest WACC of 16%, indicating greater risk, and the absence of IRR and payback period data, which makes it difficult to fully assess the investment's risk and return profile. Therefore, the ranking based on achieving the highest dollar returns corrected for risk is B, A, and C.</t>
  </si>
  <si>
    <t>NIY = rental income / property value</t>
  </si>
  <si>
    <t>NIY takes into account income after expenses, hence we need to find the income.</t>
  </si>
  <si>
    <t>Lease =</t>
  </si>
  <si>
    <t>Expenses =</t>
  </si>
  <si>
    <t>NIY =</t>
  </si>
  <si>
    <t>Property value =</t>
  </si>
  <si>
    <t>therefore Property value = rental income / NIY</t>
  </si>
  <si>
    <t>payment days</t>
  </si>
  <si>
    <t>daily cash</t>
  </si>
  <si>
    <t>amount for month delay</t>
  </si>
  <si>
    <t>amount for month only delay</t>
  </si>
  <si>
    <t>total per month</t>
  </si>
  <si>
    <t>days in the month</t>
  </si>
  <si>
    <t>sales</t>
  </si>
  <si>
    <t>delay days</t>
  </si>
  <si>
    <t>EQUITY</t>
  </si>
  <si>
    <t>DEBT</t>
  </si>
  <si>
    <t>KE</t>
  </si>
  <si>
    <t>TAX</t>
  </si>
  <si>
    <t>KD</t>
  </si>
  <si>
    <t>E/(E+D)</t>
  </si>
  <si>
    <t>D/(E+D)</t>
  </si>
  <si>
    <t>ADR</t>
  </si>
  <si>
    <t>occupancy</t>
  </si>
  <si>
    <t>investment</t>
  </si>
  <si>
    <t>revenue year 1</t>
  </si>
  <si>
    <t>annual increase in revenue</t>
  </si>
  <si>
    <t>variable expenses year 1</t>
  </si>
  <si>
    <t>annual increase in expenses</t>
  </si>
  <si>
    <t>scrap/residual value</t>
  </si>
  <si>
    <t>change in NOWC, year 1</t>
  </si>
  <si>
    <t>change in NOWc year 2 - 5</t>
  </si>
  <si>
    <t xml:space="preserve">tax rate </t>
  </si>
  <si>
    <t>year</t>
  </si>
  <si>
    <t>additional revenue</t>
  </si>
  <si>
    <t>additional expenses</t>
  </si>
  <si>
    <t>depreciation/amortization</t>
  </si>
  <si>
    <t>FCFF</t>
  </si>
  <si>
    <t>residual value</t>
  </si>
  <si>
    <t>Total Cash Flows</t>
  </si>
  <si>
    <t>The investment should be accepted as the NPV is above 0 meaning the investment generates positive value.</t>
  </si>
  <si>
    <t>Balance Sheet</t>
  </si>
  <si>
    <t>accounts receivable</t>
  </si>
  <si>
    <t>inventory</t>
  </si>
  <si>
    <t>accounts payable</t>
  </si>
  <si>
    <t>IHP = av. Inventory / COS * 365</t>
  </si>
  <si>
    <t>ACP = av. Accounts Receivable / Credit Sales * 365</t>
  </si>
  <si>
    <t>PDP = av. Accounts Payable / COS * 365</t>
  </si>
  <si>
    <t>Av. Inventory =</t>
  </si>
  <si>
    <t>Av. Accounts Receivable =</t>
  </si>
  <si>
    <t>Av. Accounts Payable =</t>
  </si>
  <si>
    <t>PDP =</t>
  </si>
  <si>
    <t>NOWC 2023 =</t>
  </si>
  <si>
    <t>3. NOWC can be reduced by reducing inventory, reducing accounts receivable or increasing accounts payable. These can be done in the following ways:</t>
  </si>
  <si>
    <t>- Implement more advanced inventory systems to reduce the amounts of inventory bought and stored</t>
  </si>
  <si>
    <t>- Change payment terms to make our on account customers pay faster</t>
  </si>
  <si>
    <t>- Offer discounts to customer who pay us back faster</t>
  </si>
  <si>
    <t>- Ask suppliers to extend our credit terms</t>
  </si>
  <si>
    <t>1. Income tax rate = Income tax / Earnings before tax</t>
  </si>
  <si>
    <t>Income Before tax</t>
  </si>
  <si>
    <t>Income tax rate =</t>
  </si>
  <si>
    <t>2. In order to raise cash the company could sell its marketable securities which are current assets hence should be a rather quick solution.</t>
  </si>
  <si>
    <t>3. Solvency ratio = total assets / total liabilities</t>
  </si>
  <si>
    <t>TOTAL ASSETS</t>
  </si>
  <si>
    <t>Addtional paid in capital</t>
  </si>
  <si>
    <t>retained earnings</t>
  </si>
  <si>
    <t>TOTAL LIABILITIES AND EQUITY</t>
  </si>
  <si>
    <t>Total liabilities =</t>
  </si>
  <si>
    <t>&lt;- deduct all equity from total liabilities + equity to find total liabilities only</t>
  </si>
  <si>
    <t>Solvency ratio =</t>
  </si>
  <si>
    <t>5.The lower the solvency ratio the higher the financial leverage. As in this case the solvency ratio went down, it means that financial leverage has gone up and it would have the following impact on the stakeholders:</t>
  </si>
  <si>
    <t>The shareholders would be happy as it would mean that less money would have to come from them to finance the assets (relatively less equity compared to liabilities). This normally would lead to a higher Return on Equity making them happy.</t>
  </si>
  <si>
    <t>The bank would not be happy with this change as higher financial leverage means more risk as the are relatively more liabilities financing the assets and the liabilities/loans have to be paid off no matter what and they always come with interest that can make it risky in case the company suddenly does not make enough money to cover those financial obligations to the bank.</t>
  </si>
  <si>
    <t>1. The 50% return demand in the first phase might be justified because, at that point, there is significant risk. The machine had not yet been proven to work, so investors would need a high return to compensate for the possibility of failure as high risk is equal to high return demanded. However, once the prototype is proven to work, the risk is significantly reduced. It becomes more of a scaling operation rather than an uncertain innovation project. Since the technical risk has been mitigated by the successful prototype, the investors should reasonably demand a lower return in the second round of financing. They are now investing in a more predictable, lower-risk phase of the project where typical required returns should be lower. Demanding a 50% return for the second round implies the investors are not accounting for the reduced risk. For John, this could be seen as unfair, as he might find alternative financing at a lower rate, or the project could now attract investors with more reasonable expectations.</t>
  </si>
  <si>
    <t>2. The equity providers (shareholders) will logically be in favor of the bank loan as it will increase the financial leverage which is normally the preference of the shareholders as it means they invest less of their own money (equity) to generate same or similar returns leading to a higher Return on Equity. Additionaly, the interest rate on the bank loan is significantly lower than the return demanded by the equity investors (50%). Using cheaper bank financing reduces the overall cost of capital for the project, which increases the potential profitability of the business. This benefits the shareholders because the project will generate more value, leading to potentially higher returns on their equity investment.</t>
  </si>
  <si>
    <t xml:space="preserve">Cash </t>
  </si>
  <si>
    <t>pre-paid insurance</t>
  </si>
  <si>
    <t>Total current assets</t>
  </si>
  <si>
    <t>accumulated depreciation equipment</t>
  </si>
  <si>
    <t>buildings</t>
  </si>
  <si>
    <t>accumulated depreciation buildings</t>
  </si>
  <si>
    <t>land</t>
  </si>
  <si>
    <t>total fixed assets</t>
  </si>
  <si>
    <t>4. Checking with through horizontal analysis and relative difference to see where the biggest change happened:</t>
  </si>
  <si>
    <t>accrued expenses</t>
  </si>
  <si>
    <t>corporate income tax payable</t>
  </si>
  <si>
    <t>short term portion of loan</t>
  </si>
  <si>
    <t>dividends payable</t>
  </si>
  <si>
    <t>total current liabilities</t>
  </si>
  <si>
    <t>Long term loans</t>
  </si>
  <si>
    <t>Common stock issued</t>
  </si>
  <si>
    <t>Absolute difference</t>
  </si>
  <si>
    <t>The solvency ratio has only slightly gone down meaning that either the amount of assets compared to liabilities went down or the amount of liabilities compared to assets went up. In this case the amount of liabilities has increased a bit more than the amount of assets and the biggest cause of this was an increase of 475,000 in Long Term Loans.</t>
  </si>
  <si>
    <t>1. Cash flow from operating activities can be significantly higher than net income for a hotel due to several factors. For example, non-cash expenses like depreciation and amortization reduce net income without affecting actual cash outflow. Income statement also includes revenues that have not been received yet or expenses that have not been paid yet. Those would not be included in the cash flow statement. In essence, cash flow reflects real cash movement, while net income is influenced by accounting adjustments.</t>
  </si>
  <si>
    <t>2. A new long term loan that has been taken out helped us to fund the real estate investment of 670,000.</t>
  </si>
  <si>
    <t>By the end of 2023 we were supposed to have this much of the long term loan left:</t>
  </si>
  <si>
    <t>However we still had this much left:</t>
  </si>
  <si>
    <t>As this is more than what we were supposed to have, we took out a new loan of:</t>
  </si>
  <si>
    <t>3. The cash of the company went up, this can be seen by the difference on the balance sheet between the 2022 end of year amount and 2023 end of year amount.</t>
  </si>
  <si>
    <t>Difference:</t>
  </si>
  <si>
    <t xml:space="preserve">While Claire’s comment about project A having a significantly higher NPV than project B is valid, as NPV is a key measure for assessing the value of an investment. A higher NPV indicates that project A is expected to generate more value for the company, making it a stronger choice if only one investment can be made. However, in this case project A has a higher NPV only until roughly 17% WACC soon after which it starts generating negative NPV while project B still generates positive NPV until roughly 27% WACC. In this case we are not told what the actual risk behind the project is and hence cannot determine if project A is actually the better one because if the WACC is above 17% and under 27% project B would be better.
</t>
  </si>
  <si>
    <t>On the other hand, Robert’s focus on the Internal Rate of Return (IRR) might also be seen as correct one in this case. While a higher IRR can suggest a potentially better investment as it means the project can take on more risk, it doesn't always provide a complete picture, especially when comparing projects of different scales or with varying cash flow patterns. If project B has a higher IRR but a lower NPV, it may not create as much value overall as project A. It could just show that project B generates higher cash flows earlier in its timeline whereas project A gets higher cashflows later in time. Therefore, while Robert’s point about IRR is important, it should be looked at together with the NPV and the actual risk that is taken.</t>
  </si>
  <si>
    <t>Net Profit Margin</t>
  </si>
  <si>
    <t>Asset Turnover</t>
  </si>
  <si>
    <t>Financial Leverage</t>
  </si>
  <si>
    <t>ROE</t>
  </si>
  <si>
    <t>Don’t forget to check if the result of ROE from Dupont is the same as the one from using the simple formula.</t>
  </si>
  <si>
    <t>I used 2021 Balance sheet figures, since the Income statement is from 2021</t>
  </si>
  <si>
    <t>DUPONT</t>
  </si>
  <si>
    <t xml:space="preserve">The company is mostly financed through equity as we can see a majority of the funding comes from equity. The financial leverage being 1,3 affects the ROE as higher the leverage higher the ROE. </t>
  </si>
  <si>
    <t>1. Return on equity = return on assets * financial leverage</t>
  </si>
  <si>
    <t>Return on assets = net income / assets</t>
  </si>
  <si>
    <t>Financial leverage = assets/equity</t>
  </si>
  <si>
    <t>Net income =</t>
  </si>
  <si>
    <t>Assets =</t>
  </si>
  <si>
    <t>Equity =</t>
  </si>
  <si>
    <t>ROA =</t>
  </si>
  <si>
    <t>Financial leverage =</t>
  </si>
  <si>
    <t>ROE from it's real formula =</t>
  </si>
  <si>
    <t>2. TA/TE of our company=</t>
  </si>
  <si>
    <t>Our financial leverage ratio is lower than the benchmark of 2 which means our financial leverage is lower.</t>
  </si>
  <si>
    <t>3. High financial leverage means more risk because we then have relatively high amounts of debt which leads to a lot of interest that has to be paid no matter what and it makes it more likely that the company would go bankrupt due to all the interest that must be paid each year.</t>
  </si>
  <si>
    <t>However, the benefit of high financial leverage is high return on equity for shareholders as not much equity is then invested making the ratio higher.</t>
  </si>
  <si>
    <t xml:space="preserve">3. A higher tax rate can reduce WACC because of the tax shield on debt. As the tax rate increases, the cost of debt decreases due to the tax-deductibility of interest. Lower WACC would then mean we discount our cash flows with a lower percentage and hence get to keep more to ourselves. However, higher taxes also reduce after-tax cash flows, which can offset the WACC benefit and lower NPV.
</t>
  </si>
  <si>
    <t>In the context of an expected long-term economic downturn, the company should prioritize converting its debt into long-term debt (LT debt) rather than relying on short-term debt (ST debt). LT debt is less risky because it does not require frequent refinancing, reducing the risk of facing tighter credit conditions or higher interest rates during the recession. Additionally, LT debt typically comes with fixed interest rates, providing stability and predictability in financial planning, which is crucial in uncertain times. While the interest expense for LT debt may be higher than for ST debt, this cost is offset by the reduced risk of refinancing at unfavorable terms and the ability to manage cash flows more effectively. By locking in LT debt, the company minimizes financial stress and secures greater stability, enabling it to focus on navigating the prolonged economic downturn.</t>
  </si>
  <si>
    <t>1. Fundamental accounting equation: A = L + E</t>
  </si>
  <si>
    <t>If TA/TL=3, then total assets divided by total liabilities have to be equal to 3</t>
  </si>
  <si>
    <t>Then, for example, Total assets can be equal to 3 and total liabilities can be equal to 1, because:</t>
  </si>
  <si>
    <t>3/1=3</t>
  </si>
  <si>
    <t>In that case to find equity we have:</t>
  </si>
  <si>
    <t>3 = 1 + E</t>
  </si>
  <si>
    <t>E = 3 - 1 = 2</t>
  </si>
  <si>
    <t>So, out of the total assets of 3, equity is 2, which is 2/3 parts =</t>
  </si>
  <si>
    <t>2. Shareholders generally dislike a company holding excessive cash on its balance sheet because it represents idle capital that is not being used for productive purposes. Unlike productive assets, cash does not generate a return and carries an opportunity cost, as it could instead be invested in projects, acquisitions, or distributed to shareholders as dividends. This underutilization of capital can signal inefficiency and reduce potential shareholder value.</t>
  </si>
  <si>
    <t>3. Looking at the DuPont analysis, both companies A and B achieve the same ROE of 20%. However, company B’s performance is more impressive because it achieves this ROE without financial leverage, as indicated by an A/Eq ratio of 1. In contrast, company A relies on leverage (A/Eq of 2) to achieve the same ROE. This means that company B is generating its returns purely from operational efficiency and profitability, making it a lower-risk and more sustainable performer.</t>
  </si>
  <si>
    <t>Inventory Turnover</t>
  </si>
  <si>
    <t>Accounts Collection Turnover</t>
  </si>
  <si>
    <t>IHP = 365/25=</t>
  </si>
  <si>
    <t>To find CCC (IHP+ACP-PDP) first turn all the turnovers into days!</t>
  </si>
  <si>
    <t>ACP = 365/10=</t>
  </si>
  <si>
    <t>2. In general, having a lower Cash Conversion Cycle (CCC) than a competitor is a good thing, as it indicates that your company is more efficient in converting its investments in inventory, getting cash back from our customers and taking as much time as possible to pay back our suppliers. A lower CCC means faster cash recovery, improved liquidity, and potentially lower external financing needs, giving your company a competitive advantage in managing working capital effectively.</t>
  </si>
  <si>
    <t>3. One specific action to improve PDP (making it higher) is to negotiate extended credit terms with suppliers. By increasing the time allowed to pay suppliers, the company can retain cash for a longer period, reducing the need for external financing such as bank overdrafts. This improves liquidity and lowers financing costs, strengthening the company’s overall financial position.</t>
  </si>
  <si>
    <t>4. NOWC = AR + I + Pre Paid Exp + any other operating current asset – AP - Accrued Expenses - Advanced Deposits- any other operating current liability (*)</t>
  </si>
  <si>
    <t>(*) Does not Include in CA: Cash and Marketable Securities and in the CL: Dividends Payable, Current Part of LTD and Short Term Debt</t>
  </si>
  <si>
    <t>A/R</t>
  </si>
  <si>
    <t>Pre Paid Insurance</t>
  </si>
  <si>
    <t>A/P</t>
  </si>
  <si>
    <t>Accrued Wages</t>
  </si>
  <si>
    <t>Short Term Loans</t>
  </si>
  <si>
    <t>Advanced Deposits</t>
  </si>
  <si>
    <t>Current Part Short Term Debt</t>
  </si>
  <si>
    <t xml:space="preserve">NOWC = </t>
  </si>
  <si>
    <t>5. A decrease in NOWC compared to the previous year is a positive for financing because it means the company requires less capital to fund its operating current assets. This reduces the need for external financing, such as loans or equity, freeing up resources and improving overall financial efficiency.</t>
  </si>
  <si>
    <t>1. In 2021, equipment worth $200 was sold, as reflected in the "Change in Equipment" under cash from investing activities. Similarly, in 2022, another equipment sale worth $200 occurred. These consistent sales of equipment in both years contributed positively to the cash from investing activities in each period.</t>
  </si>
  <si>
    <t>2. The cash generated from operating activities was less in 2022 compared to 2021, indicating a potential decline in the company’s operational performance, which aligns with a declining phase. The cash from investing activities was positive in both years, suggesting that the company generated cash by selling assets like buildings, equipment, or marketable securities—an action typically associated with a company in decline, as it seeks to liquidate assets. Lastly, the cash flow from financing activities was negative in both years due to significant debt repayments, another characteristic of a declining company trying to reduce its financial obligations. Overall, the company appears to be in a declining phase.</t>
  </si>
  <si>
    <t>1. The mistake is in the numbers for Project A. The NPV is shown as positive 100,000, which indicates that the project creates value. However, the WACC (21%) is higher than the IRR (20%), which implies the opposite—such a project would destroy value because the IRR represents the maximum discount rate at which the project can still create value. If the WACC exceeds the IRR, the NPV should be negative, not positive.</t>
  </si>
  <si>
    <t>2. If the risk of Project C increases, the WACC will also increase, as higher risk typically leads to a higher discount rate. Since the FCFF (Free Cash Flow to Firm) remains unchanged, the future cash flows will now be discounted at a higher rate. This means that the present value of those cash flows will decrease, resulting in a lower overall valuation for Project C. Thus, an increase in risk leads to a decrease in the project's value.</t>
  </si>
  <si>
    <t>EBITDA year 1</t>
  </si>
  <si>
    <t>EBITDA growth rate for each year up until year 3</t>
  </si>
  <si>
    <t>Interest expenses per year</t>
  </si>
  <si>
    <t>Solvency TA/TL</t>
  </si>
  <si>
    <t>Sum of DCFs = maximum price =</t>
  </si>
  <si>
    <t>1. NIY = rental income / property value</t>
  </si>
  <si>
    <t>therefore Rental income = property value * NIY</t>
  </si>
  <si>
    <t>First find the initial rental income at 5% NIY:</t>
  </si>
  <si>
    <t>Then find the new property value with the same rental income at 8% NIY:</t>
  </si>
  <si>
    <t>New property value =</t>
  </si>
  <si>
    <t>2. The value of the building will go down. The net initial yield (NIY) is inversely related to the value of the property. As the NIY rises from 5% to 8%, the required return on the property increases, meaning investors will be willing to pay less for the same rental income and expenses. Since the rent and expenses remain unchanged, the higher NIY reflects a higher required return, which lowers the building's value.</t>
  </si>
  <si>
    <t xml:space="preserve">3. NOWC = AR + I + Pre Paid Exp + any other operating current asset – AP - Accrued Expenses - Advanced Deposits- any other operating current liability </t>
  </si>
  <si>
    <t>2. NOWC = AR + I + Pre Paid Exp + any other operating current asset – AP - Accrued Expenses - Advanced Deposits- any other operating current liability</t>
  </si>
  <si>
    <t xml:space="preserve">2. NOWC = AR + I + Pre Paid Exp + any other operating current asset – AP - Accrued Expenses - Advanced Deposits- any other operating current liability </t>
  </si>
  <si>
    <t>2a The interest rate will be lower as the risk is lower. MEWS proved that its software works, which was not the case when the company started.</t>
  </si>
  <si>
    <t>2b Properly functioning software is unsystematic risk, as it is fully in the hands of MEWS. Good economic conditions are a systematic risk as it is an external factor affecting the entire market and cannot be controlled or avoided.</t>
  </si>
  <si>
    <t>2c A is a better option as it has more financial leverage (debt is relatively higher to equity compared to scenario B) and this will hence boost the ROE.</t>
  </si>
  <si>
    <t>3a 47% is the management's preference as it means their operational performance (GOP/Sales) is better.</t>
  </si>
  <si>
    <t>3b EBITDA/Interest expenses tells you how many times the EBITDA covers the interest expense. It therefore can tell you if the company can easily pay the interest expense or not from the cash generated by its operational activities. A ratio of more than 1 is considered to be good.</t>
  </si>
  <si>
    <t>3c Quick ratio = (Current assets - inventory - prepaid expenses)/current liabilities</t>
  </si>
  <si>
    <t>Quick ratio =</t>
  </si>
  <si>
    <t>3d EBITDA margin = EBITDA/Revenue</t>
  </si>
  <si>
    <t>New EBITDA margin =</t>
  </si>
  <si>
    <t>The EBITDA margin has improved as it is now 40% compared to 35% and it is a profitability ratio hence we want it as high as possible.</t>
  </si>
  <si>
    <t>6a</t>
  </si>
  <si>
    <t>Project</t>
  </si>
  <si>
    <t>Haarlem</t>
  </si>
  <si>
    <t>Left after year 1</t>
  </si>
  <si>
    <t>Left after year 2</t>
  </si>
  <si>
    <t>Left after year 3</t>
  </si>
  <si>
    <t>&lt;- too high!! Meaning payback is between Year 2 and Year 3</t>
  </si>
  <si>
    <t>We need only a part of Y3 =</t>
  </si>
  <si>
    <t>Payback is hence =</t>
  </si>
  <si>
    <t>6b Amsterdam is best as at its WACC, it has an NPV of around 75 000 and is higher than the other two (Brenda at its WACC has an NPV of around 61 000 and Haarlem at its WACC of 20% has and NPV of around 50 000). Amsterdam hence generates the most value.</t>
  </si>
  <si>
    <t>7a Good reason is for example that Zeki has full control over the physical building. He can adjust the building to his concept. Not owning the building could mean that the owner of the building would not be willing to change the building.</t>
  </si>
  <si>
    <t>Another good reason is that the owner can benefit not only from the value of the operations but also from the value of the real estate going up and hence make more money.</t>
  </si>
  <si>
    <t>7b The downside of owning the real estate is that it requires a lot of capital. Mr Zeki wants to expand quickly before his competition catches on. Buying the building will require a lot of capital and thus might hinder a fast expansion. Not buying the buildings might thus allow Mr Zeki to expand faster.</t>
  </si>
  <si>
    <t>Another downside  is that real estate ownership involves financial risks, including property value fluctuations, market uncertainties, and property-specific issues. Mr Zeki may want to mitigate these risks and maintain a more flexible financial position by not owning the property.</t>
  </si>
  <si>
    <t>1. Long term debt is safer than short term debt, as there is less refinancing risk. This means that once we take out a long term loan we are sure for a long period of time of the interest rate that you will be paying. Whereas while short term rate is usually cheaper it might fluctuate a lot in the recession and hence when you need to renew your loan each year it would eventually become more expensive than the long term rate.</t>
  </si>
  <si>
    <t>2. Systematic risk means that the occurrence cannot be prevented from happening, so one cannot blame a risk manager for it (an economic crisis, for example, is not the fault of the manager)</t>
  </si>
  <si>
    <t>3. The director should demand more than 12% return on her equity investment because equity is riskier than debt, as interest is paid no matter what and bank is always first in line to get their money back in case the company goes bankrupt whereas the shareholders are always last in line, and higher risk must be compensated by higher expected return.</t>
  </si>
  <si>
    <t>1. Shareholders in general will not be pleased as there is more capital tied up in non productive assets (CA such as inventory, cash, accounts receivable and so on are unproductive, do not generate a return, unlike NCA).</t>
  </si>
  <si>
    <t>2. Bankers will be happy. Reason: in old situation there was twice as much assets as liabilities. Now there is three times as much. The financial leverage has hence gone down and the company became less risky which is what the bank likes.</t>
  </si>
  <si>
    <t>5360/2100=</t>
  </si>
  <si>
    <t>Profit margin = net income / revenue = 20/200 =</t>
  </si>
  <si>
    <t>You cannot simply deduct the change in interest from the net income to find the new net income!</t>
  </si>
  <si>
    <t>This is because the interest comes before tax and tax depends on the EBT which will change if the interest changes.</t>
  </si>
  <si>
    <t>Tax is not a fixed number, it is a percentage of your EBT! Hence, we first need to find the initial tax rate %</t>
  </si>
  <si>
    <t>Tax rate % = tax in euros / EBT =</t>
  </si>
  <si>
    <t>20/40=</t>
  </si>
  <si>
    <t>If interest goes up by 10 euros, then more will be deducted to get to EBT, so EBT will become 40-10=30</t>
  </si>
  <si>
    <t>On 30 euros of EBT we will pay 30*50%=15 as tax, so the new net income will be:</t>
  </si>
  <si>
    <t>30-15=</t>
  </si>
  <si>
    <t>Inventory Holding Period</t>
  </si>
  <si>
    <t>Accounts Receivables Turnover</t>
  </si>
  <si>
    <t>Payables Turnover</t>
  </si>
  <si>
    <t>ACP = 365/20=</t>
  </si>
  <si>
    <t>PDP = 365/41=</t>
  </si>
  <si>
    <t>2. If company pays suppliers later, the accounts payables will go up and as NOWC=OCA-OCL and accounts payables are part of OCL, if we have to deduct a higher number then the result will be lower making NOWC smaller.</t>
  </si>
  <si>
    <t>3. NWC=CA-CL and NOWC=OCA-OCL</t>
  </si>
  <si>
    <t>For NWC, if we buy inventory and finance it with a short term loan, both the CA will go up because of inventory and CL will go up because of short term loan, so both sides of the formula will go up by the same amount leaving the final result the same.</t>
  </si>
  <si>
    <t>For NOWC, the purchase of inventory will increase the OCA, however as short term loan is an exclusion from OCL, the OCL side will remain the same and hence we will be subtracting the same OCL from a bigger OCA, making the NOWC higher.</t>
  </si>
  <si>
    <t>Revenue growth rate for each year up until year 4</t>
  </si>
  <si>
    <t>EBITDA margin</t>
  </si>
  <si>
    <t>2. Value will be destroyed, which is a bad thing. If one pays more than the DCF value (also known as Present value of the benefits), then the NPV will turn below 0 (become negative), meaning it will destroy value.</t>
  </si>
  <si>
    <t>PV =</t>
  </si>
  <si>
    <t>n =</t>
  </si>
  <si>
    <t>i=</t>
  </si>
  <si>
    <t>FV =</t>
  </si>
  <si>
    <t>&lt;- it will be higher as our money will be grown more often</t>
  </si>
  <si>
    <t>1. Rd and Re are the rates of return respectively demanded by the bank and the shareholders. They both depend on the risk that those parties expect to encounter with the project. Normally, the Re is higher than Rd because the shareholders are not guaranteed their payments compared to the certain interest payments to the bank and shareholders are last in line to get their money back if the company goes bankrupt.</t>
  </si>
  <si>
    <t>1. As the NPVs of both projects are the same, we cannot make a decision based on that. We can however decide based on PI as the higher the PI the better it is for us. In this case, project A would be a preferred choice.</t>
  </si>
  <si>
    <t>2. As Project D has WACC (the actual risk of the project) bigger than IRR (the maximum risk that the project can take) it would result in a negative NPV and hence mean that the PV of benefits is less than the PV of costs, so less than 200 000.</t>
  </si>
  <si>
    <t>2. As Project D has WACC (the actual risk of the project) bigger than IRR (the maximum risk that the project can take) it would result in a negative NPV which also makes the PI below 1.</t>
  </si>
  <si>
    <t>1. An office building generates rent independent from the commercial success of its tenants, while in hotel real estate, the more successful the hotel, the more valuable the building becomes. (If Hilton HQ hires an office building, it will be a fixed rent, so normal so to speak, but if they run a hotel in a building, the success of the hotel might allow for higher rents for the owner of the building as success of hotel is tied to building/location.)</t>
  </si>
  <si>
    <t>2. Example answers: First reason: Accor can free up a lot of capital (money) by selling its buildings (asset light strategy, so higher efficiency of capital employed). Second reason: company can focus on what it does best: running hotels (real estate is not core business).</t>
  </si>
  <si>
    <t>3. If the demanded GIY goes up, valuations in the market will go down. As rents are fixed in this example, the same building has to be bought at a lower price in order the get the reutnr for the investor up to 6% from 5%.</t>
  </si>
  <si>
    <t>For example, assume the rent is 100 euros.</t>
  </si>
  <si>
    <t>GIY = rent / building value, so building value = rent/GIY</t>
  </si>
  <si>
    <t>If GIY = 5%, then building value is 100/5%=</t>
  </si>
  <si>
    <t>If GIY = 6%, then building value is 100/6%=</t>
  </si>
  <si>
    <t>4. If GIY = rent/building value, then rent = GIY * building value</t>
  </si>
  <si>
    <t xml:space="preserve">GIY = </t>
  </si>
  <si>
    <t>Building =</t>
  </si>
  <si>
    <t>Rent =</t>
  </si>
  <si>
    <t>1. As Accounts Receivable result for 2023 in the Cash Flow is shown as -100, it means we spent money in the Accounts Receivable during the year and this can happen if we sold items on account which means on the balance sheet our Accounts Receivable went UP by 100 compared to 2022.</t>
  </si>
  <si>
    <t>Operating cash flow: The total OCF has been going down for 3 years in a row. The Net Income has even become negative in 2023, so the company has become loss making. This is a clear sign of a decline phase.</t>
  </si>
  <si>
    <t>Investing cash flow: The investing cash flow has been positive all years meaning we were making money from investing activities and this is done by selling Buildings, Equipment and Marketable Securities. This shows that the company is liquidating its assets and once again shows a decline phase.</t>
  </si>
  <si>
    <t>Financing cash flow: The company has a negative financing cash flow meaning the company spends money in financing activities which as it can be seen is done by paying back the loans. Furthermore, the company is not paying any dividends to the shareholders. Both of these situations fit the declining stage.</t>
  </si>
  <si>
    <t>Looking at all three sections of the Cash Flow Statement, this is clearly a company in its DECLINE phase. All 3 sections point in the same direction.</t>
  </si>
  <si>
    <t>3. In 2023 the cash position (so all the way at the bottom of the CFS) has been depleted to 0, so there is no more cash. As the trend in the CFS clearly shows company is in decline phase, 2024 will be bad too, but now there will be no more cash, so the company will probably need outside financing in order to survive.</t>
  </si>
  <si>
    <t>In finance, risk is about deciding how safe or risky an investment might be. Risk depends on many criteria like the industry, country, project type or the way it is financed. People look at how much they could gain versus how much they could lose. There are risks that cannot be controlled (systematic) or can be controlled (unsystematic). To make smart choices, investors need to balance how much risk they're okay with against how much money they hope to make. They also use tricks like spreading out investments to manage risk better.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</si>
</sst>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 &quot;€&quot;\ * #,##0.00_ ;_ &quot;€&quot;\ * \-#,##0.00_ ;_ &quot;€&quot;\ * &quot;-&quot;??_ ;_ @_ "/>
    <numFmt numFmtId="43" formatCode="_ * #,##0.00_ ;_ * \-#,##0.00_ ;_ * &quot;-&quot;??_ ;_ @_ "/>
    <numFmt numFmtId="164" formatCode="_(* #,##0.00_);_(* \(#,##0.00\);_(* &quot;-&quot;??_);_(@_)"/>
    <numFmt numFmtId="165" formatCode="_-&quot;£&quot;* #,##0.00_-;\-&quot;£&quot;* #,##0.00_-;_-&quot;£&quot;* &quot;-&quot;??_-;_-@_-"/>
    <numFmt numFmtId="166" formatCode="_-* #,##0.00_-;\-* #,##0.00_-;_-* &quot;-&quot;??_-;_-@_-"/>
    <numFmt numFmtId="167" formatCode="_ * #,##0_ ;_ * \-#,##0_ ;_ * &quot;-&quot;??_ ;_ @_ "/>
    <numFmt numFmtId="168" formatCode="_(* #,##0_);_(* \(#,##0\);_(* &quot;-&quot;??_);_(@_)"/>
    <numFmt numFmtId="169" formatCode="_-[$$-409]* #,##0_ ;_-[$$-409]* \-#,##0\ ;_-[$$-409]* &quot;-&quot;??_ ;_-@_ "/>
    <numFmt numFmtId="170" formatCode="###\ ###\ ###\ "/>
    <numFmt numFmtId="171" formatCode="0.0%"/>
    <numFmt numFmtId="172" formatCode="###\ ###\ ###;\(###\ ###\ ###\)"/>
    <numFmt numFmtId="173" formatCode="###,###,###;\(###,###,###\)"/>
    <numFmt numFmtId="174" formatCode="#,##0_ ;[Red]\-#,##0\ "/>
    <numFmt numFmtId="175" formatCode="_-* #,##0_-;\-* #,##0_-;_-* &quot;-&quot;??_-;_-@_-"/>
    <numFmt numFmtId="176" formatCode="#,##0.00_ ;[Red]\-#,##0.00\ "/>
    <numFmt numFmtId="177" formatCode="#,##0.0_ ;[Red]\-#,##0.0\ "/>
    <numFmt numFmtId="178" formatCode="_([$€-2]\ * #,##0.00_);_([$€-2]\ * \(#,##0.00\);_([$€-2]\ * &quot;-&quot;??_);_(@_)"/>
    <numFmt numFmtId="179" formatCode="&quot;€&quot;\ #,##0"/>
    <numFmt numFmtId="180" formatCode="&quot; &quot;#,##0&quot; &quot;;&quot; -&quot;#,##0&quot; &quot;;&quot; -&quot;00&quot; &quot;;&quot; &quot;@&quot; &quot;"/>
  </numFmts>
  <fonts count="4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2"/>
      <color rgb="FF303133"/>
      <name val="Arial"/>
      <family val="2"/>
    </font>
    <font>
      <sz val="11"/>
      <color rgb="FF303133"/>
      <name val="Arial"/>
      <family val="2"/>
    </font>
    <font>
      <b/>
      <sz val="11"/>
      <color rgb="FF303133"/>
      <name val="Arial"/>
      <family val="2"/>
    </font>
    <font>
      <b/>
      <sz val="12"/>
      <color theme="1"/>
      <name val="Calibri"/>
      <family val="2"/>
      <scheme val="minor"/>
    </font>
    <font>
      <b/>
      <sz val="12"/>
      <name val="Calibri"/>
      <family val="2"/>
      <scheme val="minor"/>
    </font>
    <font>
      <b/>
      <i/>
      <sz val="11"/>
      <color theme="1"/>
      <name val="Calibri"/>
      <family val="2"/>
      <scheme val="minor"/>
    </font>
    <font>
      <sz val="11"/>
      <color theme="0"/>
      <name val="Calibri"/>
      <family val="2"/>
      <scheme val="minor"/>
    </font>
    <font>
      <b/>
      <sz val="11"/>
      <color rgb="FFFF0000"/>
      <name val="Calibri"/>
      <family val="2"/>
      <scheme val="minor"/>
    </font>
    <font>
      <sz val="12"/>
      <color theme="1"/>
      <name val="Calibri"/>
      <family val="2"/>
      <scheme val="minor"/>
    </font>
    <font>
      <sz val="11"/>
      <color theme="1"/>
      <name val="Calibri"/>
      <family val="2"/>
    </font>
    <font>
      <i/>
      <sz val="11"/>
      <color theme="1"/>
      <name val="Calibri"/>
      <family val="2"/>
      <scheme val="minor"/>
    </font>
    <font>
      <sz val="11"/>
      <color rgb="FF000000"/>
      <name val="Calibri"/>
      <family val="2"/>
    </font>
    <font>
      <b/>
      <sz val="12"/>
      <color rgb="FF000000"/>
      <name val="Calibri"/>
      <family val="2"/>
    </font>
    <font>
      <sz val="8"/>
      <color theme="1"/>
      <name val="Arial"/>
      <family val="2"/>
    </font>
    <font>
      <b/>
      <sz val="10"/>
      <color theme="0"/>
      <name val="Helvetica"/>
      <family val="2"/>
    </font>
    <font>
      <b/>
      <sz val="11"/>
      <color theme="1"/>
      <name val="Helvetica"/>
      <family val="2"/>
    </font>
    <font>
      <b/>
      <sz val="12"/>
      <color rgb="FFFF0000"/>
      <name val="Calibri"/>
      <family val="2"/>
      <scheme val="minor"/>
    </font>
    <font>
      <sz val="10"/>
      <color theme="1"/>
      <name val="Helvetica"/>
      <family val="2"/>
    </font>
    <font>
      <b/>
      <u/>
      <sz val="12"/>
      <color theme="1"/>
      <name val="Calibri"/>
      <family val="2"/>
      <scheme val="minor"/>
    </font>
    <font>
      <u/>
      <sz val="12"/>
      <color theme="1"/>
      <name val="Calibri"/>
      <family val="2"/>
      <scheme val="minor"/>
    </font>
    <font>
      <sz val="18"/>
      <color theme="1"/>
      <name val="Calibri"/>
      <family val="2"/>
      <scheme val="minor"/>
    </font>
    <font>
      <b/>
      <sz val="12"/>
      <color theme="9"/>
      <name val="Calibri"/>
      <family val="2"/>
      <scheme val="minor"/>
    </font>
    <font>
      <b/>
      <sz val="11"/>
      <color rgb="FF000000"/>
      <name val="Calibri"/>
      <family val="2"/>
    </font>
    <font>
      <b/>
      <sz val="11"/>
      <color theme="9"/>
      <name val="Calibri"/>
      <family val="2"/>
      <scheme val="minor"/>
    </font>
    <font>
      <sz val="11"/>
      <color theme="9"/>
      <name val="Calibri"/>
      <family val="2"/>
      <scheme val="minor"/>
    </font>
    <font>
      <u/>
      <sz val="11"/>
      <color theme="1"/>
      <name val="Calibri"/>
      <family val="2"/>
      <scheme val="minor"/>
    </font>
    <font>
      <b/>
      <sz val="11"/>
      <color rgb="FF70AD47"/>
      <name val="Calibri"/>
      <family val="2"/>
      <scheme val="minor"/>
    </font>
    <font>
      <b/>
      <sz val="11"/>
      <color rgb="FFFF0000"/>
      <name val="Calibri"/>
      <family val="2"/>
    </font>
    <font>
      <sz val="11"/>
      <color rgb="FFFFFFFF"/>
      <name val="Calibri"/>
      <family val="2"/>
      <scheme val="minor"/>
    </font>
    <font>
      <sz val="9"/>
      <color theme="1"/>
      <name val="Calibri"/>
      <family val="2"/>
      <scheme val="minor"/>
    </font>
    <font>
      <sz val="12"/>
      <color rgb="FF000000"/>
      <name val="Calibri"/>
      <family val="2"/>
    </font>
    <font>
      <sz val="12"/>
      <color theme="1"/>
      <name val="Cambria"/>
      <family val="1"/>
    </font>
    <font>
      <sz val="12"/>
      <color rgb="FFFF0000"/>
      <name val="Calibri"/>
      <family val="2"/>
    </font>
    <font>
      <sz val="12"/>
      <color theme="1"/>
      <name val="Calibri"/>
      <family val="2"/>
    </font>
    <font>
      <b/>
      <sz val="14"/>
      <color rgb="FF000000"/>
      <name val="Calibri"/>
      <family val="2"/>
    </font>
    <font>
      <b/>
      <sz val="14"/>
      <color theme="1"/>
      <name val="Calibri"/>
      <family val="2"/>
      <scheme val="minor"/>
    </font>
    <font>
      <sz val="14"/>
      <color theme="1"/>
      <name val="Calibri"/>
      <family val="2"/>
      <scheme val="minor"/>
    </font>
    <font>
      <sz val="14"/>
      <color rgb="FF000000"/>
      <name val="Calibri"/>
      <family val="2"/>
    </font>
    <font>
      <sz val="11"/>
      <name val="Calibri"/>
      <family val="2"/>
      <scheme val="minor"/>
    </font>
    <font>
      <b/>
      <sz val="14"/>
      <color rgb="FFFF0000"/>
      <name val="Calibri"/>
      <family val="2"/>
      <scheme val="minor"/>
    </font>
    <font>
      <b/>
      <sz val="14"/>
      <name val="Calibri"/>
      <family val="2"/>
      <scheme val="minor"/>
    </font>
    <font>
      <sz val="16"/>
      <color theme="1"/>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rgb="FFFFFFFF"/>
        <bgColor rgb="FF000000"/>
      </patternFill>
    </fill>
    <fill>
      <patternFill patternType="solid">
        <fgColor theme="7" tint="0.79998168889431442"/>
        <bgColor indexed="64"/>
      </patternFill>
    </fill>
    <fill>
      <patternFill patternType="solid">
        <fgColor theme="0"/>
        <bgColor indexed="64"/>
      </patternFill>
    </fill>
    <fill>
      <patternFill patternType="solid">
        <fgColor rgb="FF92D050"/>
        <bgColor indexed="64"/>
      </patternFill>
    </fill>
    <fill>
      <patternFill patternType="solid">
        <fgColor theme="1"/>
        <bgColor indexed="64"/>
      </patternFill>
    </fill>
    <fill>
      <patternFill patternType="solid">
        <fgColor theme="9"/>
        <bgColor indexed="64"/>
      </patternFill>
    </fill>
    <fill>
      <patternFill patternType="solid">
        <fgColor theme="9" tint="0.59999389629810485"/>
        <bgColor indexed="64"/>
      </patternFill>
    </fill>
    <fill>
      <patternFill patternType="solid">
        <fgColor rgb="FFC6E0B4"/>
        <bgColor rgb="FF000000"/>
      </patternFill>
    </fill>
    <fill>
      <patternFill patternType="solid">
        <fgColor rgb="FF000000"/>
        <bgColor indexed="64"/>
      </patternFill>
    </fill>
    <fill>
      <patternFill patternType="solid">
        <fgColor rgb="FF92D050"/>
        <bgColor rgb="FF000000"/>
      </patternFill>
    </fill>
    <fill>
      <patternFill patternType="solid">
        <fgColor rgb="FF70AD47"/>
        <bgColor rgb="FF000000"/>
      </patternFill>
    </fill>
    <fill>
      <patternFill patternType="solid">
        <fgColor theme="9" tint="0.79998168889431442"/>
        <bgColor indexed="64"/>
      </patternFill>
    </fill>
    <fill>
      <patternFill patternType="solid">
        <fgColor theme="8" tint="0.79998168889431442"/>
        <bgColor indexed="64"/>
      </patternFill>
    </fill>
    <fill>
      <patternFill patternType="solid">
        <fgColor theme="3"/>
        <bgColor indexed="64"/>
      </patternFill>
    </fill>
    <fill>
      <patternFill patternType="solid">
        <fgColor rgb="FFC6E0B4"/>
        <bgColor indexed="64"/>
      </patternFill>
    </fill>
    <fill>
      <patternFill patternType="solid">
        <fgColor rgb="FFE2EFDA"/>
        <bgColor indexed="64"/>
      </patternFill>
    </fill>
    <fill>
      <patternFill patternType="solid">
        <fgColor rgb="FFFFF2CC"/>
        <bgColor indexed="64"/>
      </patternFill>
    </fill>
  </fills>
  <borders count="79">
    <border>
      <left/>
      <right/>
      <top/>
      <bottom/>
      <diagonal/>
    </border>
    <border>
      <left style="thin">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rgb="FF000000"/>
      </right>
      <top style="thin">
        <color indexed="64"/>
      </top>
      <bottom/>
      <diagonal/>
    </border>
    <border>
      <left/>
      <right style="thin">
        <color rgb="FF000000"/>
      </right>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indexed="64"/>
      </right>
      <top style="thin">
        <color indexed="64"/>
      </top>
      <bottom/>
      <diagonal/>
    </border>
    <border>
      <left style="medium">
        <color indexed="64"/>
      </left>
      <right style="hair">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rgb="FFE7E6E6"/>
      </left>
      <right style="thin">
        <color rgb="FFE7E6E6"/>
      </right>
      <top style="thin">
        <color rgb="FFE7E6E6"/>
      </top>
      <bottom style="thin">
        <color rgb="FFE7E6E6"/>
      </bottom>
      <diagonal/>
    </border>
    <border>
      <left style="thin">
        <color rgb="FFE7E6E6"/>
      </left>
      <right/>
      <top style="thin">
        <color rgb="FFE7E6E6"/>
      </top>
      <bottom style="thin">
        <color rgb="FFE7E6E6"/>
      </bottom>
      <diagonal/>
    </border>
    <border>
      <left style="thin">
        <color rgb="FFE7E6E6"/>
      </left>
      <right style="thin">
        <color rgb="FFE7E6E6"/>
      </right>
      <top style="thin">
        <color rgb="FFE7E6E6"/>
      </top>
      <bottom/>
      <diagonal/>
    </border>
    <border>
      <left/>
      <right style="thin">
        <color rgb="FFE7E6E6"/>
      </right>
      <top style="thin">
        <color rgb="FFE7E6E6"/>
      </top>
      <bottom style="thin">
        <color rgb="FFE7E6E6"/>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top/>
      <bottom style="thin">
        <color indexed="64"/>
      </bottom>
      <diagonal/>
    </border>
    <border>
      <left style="thin">
        <color theme="0" tint="-0.14999847407452621"/>
      </left>
      <right style="thin">
        <color theme="0" tint="-0.14999847407452621"/>
      </right>
      <top style="thin">
        <color theme="0" tint="-0.14999847407452621"/>
      </top>
      <bottom/>
      <diagonal/>
    </border>
    <border>
      <left/>
      <right style="thin">
        <color theme="0" tint="-0.14999847407452621"/>
      </right>
      <top style="thin">
        <color theme="0" tint="-0.14999847407452621"/>
      </top>
      <bottom/>
      <diagonal/>
    </border>
    <border>
      <left style="medium">
        <color indexed="64"/>
      </left>
      <right style="thin">
        <color theme="0" tint="-0.14999847407452621"/>
      </right>
      <top style="medium">
        <color indexed="64"/>
      </top>
      <bottom style="thin">
        <color theme="0" tint="-0.14999847407452621"/>
      </bottom>
      <diagonal/>
    </border>
    <border>
      <left style="thin">
        <color theme="0" tint="-0.14999847407452621"/>
      </left>
      <right style="thin">
        <color theme="0" tint="-0.14999847407452621"/>
      </right>
      <top style="medium">
        <color indexed="64"/>
      </top>
      <bottom style="thin">
        <color theme="0" tint="-0.14999847407452621"/>
      </bottom>
      <diagonal/>
    </border>
    <border>
      <left/>
      <right style="medium">
        <color indexed="64"/>
      </right>
      <top style="medium">
        <color indexed="64"/>
      </top>
      <bottom/>
      <diagonal/>
    </border>
    <border>
      <left style="medium">
        <color indexed="64"/>
      </left>
      <right style="thin">
        <color theme="0" tint="-0.14999847407452621"/>
      </right>
      <top style="thin">
        <color theme="0" tint="-0.14999847407452621"/>
      </top>
      <bottom style="thin">
        <color theme="0" tint="-0.14999847407452621"/>
      </bottom>
      <diagonal/>
    </border>
    <border>
      <left/>
      <right style="medium">
        <color indexed="64"/>
      </right>
      <top/>
      <bottom/>
      <diagonal/>
    </border>
    <border>
      <left style="thin">
        <color theme="0" tint="-0.14999847407452621"/>
      </left>
      <right style="thin">
        <color theme="0" tint="-0.14999847407452621"/>
      </right>
      <top style="thin">
        <color theme="0" tint="-0.14999847407452621"/>
      </top>
      <bottom style="medium">
        <color indexed="64"/>
      </bottom>
      <diagonal/>
    </border>
    <border>
      <left style="thin">
        <color theme="0" tint="-0.14999847407452621"/>
      </left>
      <right style="thin">
        <color theme="0" tint="-0.14999847407452621"/>
      </right>
      <top/>
      <bottom style="thin">
        <color theme="0" tint="-0.14999847407452621"/>
      </bottom>
      <diagonal/>
    </border>
    <border>
      <left style="medium">
        <color indexed="64"/>
      </left>
      <right style="thin">
        <color theme="0" tint="-0.14999847407452621"/>
      </right>
      <top style="thin">
        <color theme="0" tint="-0.14999847407452621"/>
      </top>
      <bottom style="medium">
        <color indexed="64"/>
      </bottom>
      <diagonal/>
    </border>
    <border>
      <left style="thin">
        <color theme="0" tint="-0.14999847407452621"/>
      </left>
      <right style="thin">
        <color theme="0" tint="-0.14999847407452621"/>
      </right>
      <top/>
      <bottom style="medium">
        <color indexed="64"/>
      </bottom>
      <diagonal/>
    </border>
    <border>
      <left/>
      <right style="medium">
        <color indexed="64"/>
      </right>
      <top/>
      <bottom style="medium">
        <color indexed="64"/>
      </bottom>
      <diagonal/>
    </border>
    <border>
      <left/>
      <right style="thin">
        <color theme="0" tint="-0.14999847407452621"/>
      </right>
      <top/>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medium">
        <color indexed="64"/>
      </left>
      <right/>
      <top/>
      <bottom/>
      <diagonal/>
    </border>
    <border>
      <left/>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11">
    <xf numFmtId="0" fontId="0" fillId="0" borderId="0"/>
    <xf numFmtId="166" fontId="1" fillId="0" borderId="0" applyFont="0" applyFill="0" applyBorder="0" applyAlignment="0" applyProtection="0"/>
    <xf numFmtId="9" fontId="1" fillId="0" borderId="0" applyFont="0" applyFill="0" applyBorder="0" applyAlignment="0" applyProtection="0"/>
    <xf numFmtId="0" fontId="12" fillId="0" borderId="0"/>
    <xf numFmtId="43" fontId="12" fillId="0" borderId="0" applyFont="0" applyFill="0" applyBorder="0" applyAlignment="0" applyProtection="0"/>
    <xf numFmtId="9" fontId="12" fillId="0" borderId="0" applyFont="0" applyFill="0" applyBorder="0" applyAlignment="0" applyProtection="0"/>
    <xf numFmtId="165" fontId="1" fillId="0" borderId="0" applyFont="0" applyFill="0" applyBorder="0" applyAlignment="0" applyProtection="0"/>
    <xf numFmtId="0" fontId="17" fillId="0" borderId="0"/>
    <xf numFmtId="166" fontId="12" fillId="0" borderId="0" applyFont="0" applyFill="0" applyBorder="0" applyAlignment="0" applyProtection="0"/>
    <xf numFmtId="44" fontId="12" fillId="0" borderId="0" applyFont="0" applyFill="0" applyBorder="0" applyAlignment="0" applyProtection="0"/>
    <xf numFmtId="164" fontId="12" fillId="0" borderId="0" applyFont="0" applyFill="0" applyBorder="0" applyAlignment="0" applyProtection="0"/>
  </cellStyleXfs>
  <cellXfs count="536">
    <xf numFmtId="0" fontId="0" fillId="0" borderId="0" xfId="0"/>
    <xf numFmtId="166" fontId="0" fillId="0" borderId="0" xfId="1" applyFont="1"/>
    <xf numFmtId="166" fontId="0" fillId="2" borderId="0" xfId="1" applyFont="1" applyFill="1"/>
    <xf numFmtId="0" fontId="0" fillId="0" borderId="0" xfId="1" applyNumberFormat="1" applyFont="1"/>
    <xf numFmtId="10" fontId="0" fillId="2" borderId="0" xfId="2" applyNumberFormat="1" applyFont="1" applyFill="1"/>
    <xf numFmtId="10" fontId="0" fillId="0" borderId="0" xfId="2" applyNumberFormat="1" applyFont="1"/>
    <xf numFmtId="2" fontId="0" fillId="0" borderId="0" xfId="0" applyNumberFormat="1"/>
    <xf numFmtId="0" fontId="4" fillId="4" borderId="3" xfId="0" applyFont="1" applyFill="1" applyBorder="1"/>
    <xf numFmtId="0" fontId="5" fillId="4" borderId="2" xfId="0" applyFont="1" applyFill="1" applyBorder="1" applyAlignment="1">
      <alignment horizontal="center" wrapText="1"/>
    </xf>
    <xf numFmtId="0" fontId="5" fillId="4" borderId="2" xfId="0" applyFont="1" applyFill="1" applyBorder="1" applyAlignment="1">
      <alignment horizontal="center"/>
    </xf>
    <xf numFmtId="0" fontId="4" fillId="4" borderId="6" xfId="0" applyFont="1" applyFill="1" applyBorder="1"/>
    <xf numFmtId="0" fontId="6" fillId="4" borderId="2" xfId="0" applyFont="1" applyFill="1" applyBorder="1" applyAlignment="1">
      <alignment horizontal="center"/>
    </xf>
    <xf numFmtId="0" fontId="4" fillId="0" borderId="2" xfId="0" applyFont="1" applyBorder="1"/>
    <xf numFmtId="0" fontId="4" fillId="0" borderId="4" xfId="0" applyFont="1" applyBorder="1"/>
    <xf numFmtId="0" fontId="0" fillId="5" borderId="5" xfId="0" applyFill="1" applyBorder="1"/>
    <xf numFmtId="166" fontId="0" fillId="0" borderId="0" xfId="0" applyNumberFormat="1"/>
    <xf numFmtId="0" fontId="0" fillId="0" borderId="0" xfId="0" quotePrefix="1"/>
    <xf numFmtId="0" fontId="3" fillId="0" borderId="0" xfId="0" applyFont="1"/>
    <xf numFmtId="166" fontId="3" fillId="0" borderId="0" xfId="0" applyNumberFormat="1" applyFont="1"/>
    <xf numFmtId="4" fontId="0" fillId="5" borderId="8" xfId="0" applyNumberFormat="1" applyFill="1" applyBorder="1" applyProtection="1">
      <protection locked="0"/>
    </xf>
    <xf numFmtId="166" fontId="0" fillId="0" borderId="0" xfId="1" quotePrefix="1" applyFont="1"/>
    <xf numFmtId="166" fontId="0" fillId="6" borderId="0" xfId="1" applyFont="1" applyFill="1"/>
    <xf numFmtId="0" fontId="7" fillId="5" borderId="0" xfId="0" applyFont="1" applyFill="1" applyAlignment="1">
      <alignment horizontal="left" wrapText="1"/>
    </xf>
    <xf numFmtId="0" fontId="7" fillId="5" borderId="0" xfId="0" applyFont="1" applyFill="1"/>
    <xf numFmtId="0" fontId="0" fillId="5" borderId="0" xfId="0" applyFill="1"/>
    <xf numFmtId="0" fontId="3" fillId="6" borderId="0" xfId="0" applyFont="1" applyFill="1"/>
    <xf numFmtId="166" fontId="3" fillId="6" borderId="0" xfId="0" applyNumberFormat="1" applyFont="1" applyFill="1"/>
    <xf numFmtId="10" fontId="0" fillId="6" borderId="0" xfId="2" applyNumberFormat="1" applyFont="1" applyFill="1"/>
    <xf numFmtId="166" fontId="0" fillId="6" borderId="0" xfId="0" applyNumberFormat="1" applyFill="1"/>
    <xf numFmtId="0" fontId="0" fillId="0" borderId="2" xfId="0" applyBorder="1"/>
    <xf numFmtId="0" fontId="0" fillId="0" borderId="12" xfId="0" applyBorder="1"/>
    <xf numFmtId="0" fontId="2" fillId="0" borderId="0" xfId="0" applyFont="1"/>
    <xf numFmtId="0" fontId="9" fillId="0" borderId="0" xfId="0" applyFont="1"/>
    <xf numFmtId="0" fontId="0" fillId="7" borderId="0" xfId="0" applyFill="1"/>
    <xf numFmtId="0" fontId="10" fillId="7" borderId="0" xfId="0" applyFont="1" applyFill="1" applyAlignment="1">
      <alignment horizontal="left"/>
    </xf>
    <xf numFmtId="0" fontId="0" fillId="8" borderId="0" xfId="0" applyFill="1"/>
    <xf numFmtId="166" fontId="3" fillId="0" borderId="0" xfId="1" applyFont="1"/>
    <xf numFmtId="166" fontId="0" fillId="0" borderId="0" xfId="1" applyFont="1" applyFill="1"/>
    <xf numFmtId="0" fontId="11" fillId="0" borderId="0" xfId="0" applyFont="1"/>
    <xf numFmtId="166" fontId="2" fillId="0" borderId="0" xfId="1" applyFont="1"/>
    <xf numFmtId="0" fontId="3" fillId="0" borderId="2" xfId="0" applyFont="1" applyBorder="1"/>
    <xf numFmtId="166" fontId="0" fillId="0" borderId="2" xfId="1" applyFont="1" applyBorder="1"/>
    <xf numFmtId="10" fontId="0" fillId="0" borderId="0" xfId="0" applyNumberFormat="1"/>
    <xf numFmtId="0" fontId="3" fillId="2" borderId="0" xfId="0" applyFont="1" applyFill="1"/>
    <xf numFmtId="0" fontId="3" fillId="0" borderId="0" xfId="0" applyFont="1" applyAlignment="1">
      <alignment horizontal="center"/>
    </xf>
    <xf numFmtId="0" fontId="9" fillId="0" borderId="0" xfId="0" applyFont="1" applyAlignment="1">
      <alignment horizontal="center"/>
    </xf>
    <xf numFmtId="0" fontId="3" fillId="8" borderId="0" xfId="0" applyFont="1" applyFill="1"/>
    <xf numFmtId="166" fontId="3" fillId="8" borderId="0" xfId="0" applyNumberFormat="1" applyFont="1" applyFill="1"/>
    <xf numFmtId="166" fontId="0" fillId="8" borderId="0" xfId="1" applyFont="1" applyFill="1"/>
    <xf numFmtId="0" fontId="0" fillId="0" borderId="0" xfId="0" applyAlignment="1">
      <alignment horizontal="left" vertical="top"/>
    </xf>
    <xf numFmtId="2" fontId="0" fillId="5" borderId="2" xfId="0" applyNumberFormat="1" applyFill="1" applyBorder="1" applyProtection="1">
      <protection locked="0"/>
    </xf>
    <xf numFmtId="2" fontId="3" fillId="5" borderId="2" xfId="0" applyNumberFormat="1" applyFont="1" applyFill="1" applyBorder="1" applyProtection="1">
      <protection locked="0"/>
    </xf>
    <xf numFmtId="0" fontId="0" fillId="9" borderId="2" xfId="0" applyFill="1" applyBorder="1"/>
    <xf numFmtId="0" fontId="0" fillId="9" borderId="2" xfId="0" applyFill="1" applyBorder="1" applyAlignment="1">
      <alignment wrapText="1"/>
    </xf>
    <xf numFmtId="167" fontId="0" fillId="0" borderId="2" xfId="4" applyNumberFormat="1" applyFont="1" applyBorder="1"/>
    <xf numFmtId="9" fontId="0" fillId="0" borderId="2" xfId="0" applyNumberFormat="1" applyBorder="1"/>
    <xf numFmtId="0" fontId="14" fillId="0" borderId="0" xfId="0" applyFont="1" applyAlignment="1">
      <alignment horizontal="center"/>
    </xf>
    <xf numFmtId="0" fontId="0" fillId="11" borderId="0" xfId="0" applyFill="1"/>
    <xf numFmtId="0" fontId="15" fillId="3" borderId="2" xfId="0" applyFont="1" applyFill="1" applyBorder="1"/>
    <xf numFmtId="0" fontId="15" fillId="3" borderId="5" xfId="0" applyFont="1" applyFill="1" applyBorder="1"/>
    <xf numFmtId="0" fontId="15" fillId="0" borderId="5" xfId="0" applyFont="1" applyBorder="1"/>
    <xf numFmtId="0" fontId="15" fillId="3" borderId="6" xfId="0" applyFont="1" applyFill="1" applyBorder="1"/>
    <xf numFmtId="0" fontId="15" fillId="3" borderId="0" xfId="0" applyFont="1" applyFill="1"/>
    <xf numFmtId="0" fontId="15" fillId="3" borderId="7" xfId="0" applyFont="1" applyFill="1" applyBorder="1"/>
    <xf numFmtId="0" fontId="15" fillId="3" borderId="19" xfId="0" applyFont="1" applyFill="1" applyBorder="1"/>
    <xf numFmtId="0" fontId="15" fillId="3" borderId="17" xfId="0" applyFont="1" applyFill="1" applyBorder="1"/>
    <xf numFmtId="0" fontId="15" fillId="0" borderId="17" xfId="0" applyFont="1" applyBorder="1"/>
    <xf numFmtId="0" fontId="16" fillId="3" borderId="6" xfId="0" applyFont="1" applyFill="1" applyBorder="1"/>
    <xf numFmtId="0" fontId="16" fillId="3" borderId="17" xfId="0" applyFont="1" applyFill="1" applyBorder="1"/>
    <xf numFmtId="0" fontId="15" fillId="0" borderId="6" xfId="0" applyFont="1" applyBorder="1"/>
    <xf numFmtId="0" fontId="16" fillId="0" borderId="17" xfId="0" applyFont="1" applyBorder="1"/>
    <xf numFmtId="0" fontId="15" fillId="12" borderId="17" xfId="0" applyFont="1" applyFill="1" applyBorder="1"/>
    <xf numFmtId="0" fontId="15" fillId="13" borderId="17" xfId="0" applyFont="1" applyFill="1" applyBorder="1"/>
    <xf numFmtId="2" fontId="15" fillId="12" borderId="17" xfId="0" applyNumberFormat="1" applyFont="1" applyFill="1" applyBorder="1"/>
    <xf numFmtId="2" fontId="15" fillId="13" borderId="17" xfId="0" applyNumberFormat="1" applyFont="1" applyFill="1" applyBorder="1"/>
    <xf numFmtId="1" fontId="0" fillId="5" borderId="2" xfId="0" applyNumberFormat="1" applyFill="1" applyBorder="1" applyProtection="1">
      <protection locked="0"/>
    </xf>
    <xf numFmtId="167" fontId="0" fillId="5" borderId="20" xfId="4" applyNumberFormat="1" applyFont="1" applyFill="1" applyBorder="1"/>
    <xf numFmtId="170" fontId="0" fillId="5" borderId="7" xfId="4" applyNumberFormat="1" applyFont="1" applyFill="1" applyBorder="1"/>
    <xf numFmtId="2" fontId="0" fillId="6" borderId="2" xfId="0" applyNumberFormat="1" applyFill="1" applyBorder="1" applyProtection="1">
      <protection locked="0"/>
    </xf>
    <xf numFmtId="165" fontId="0" fillId="6" borderId="2" xfId="6" applyFont="1" applyFill="1" applyBorder="1" applyProtection="1">
      <protection locked="0"/>
    </xf>
    <xf numFmtId="9" fontId="0" fillId="5" borderId="2" xfId="5" applyFont="1" applyFill="1" applyBorder="1" applyProtection="1">
      <protection locked="0"/>
    </xf>
    <xf numFmtId="0" fontId="0" fillId="0" borderId="0" xfId="0" applyAlignment="1">
      <alignment vertical="center" wrapText="1"/>
    </xf>
    <xf numFmtId="0" fontId="0" fillId="0" borderId="0" xfId="0" applyAlignment="1">
      <alignment wrapText="1"/>
    </xf>
    <xf numFmtId="9" fontId="0" fillId="2" borderId="2" xfId="5" applyFont="1" applyFill="1" applyBorder="1" applyProtection="1">
      <protection locked="0"/>
    </xf>
    <xf numFmtId="170" fontId="0" fillId="0" borderId="2" xfId="4" applyNumberFormat="1" applyFont="1" applyBorder="1"/>
    <xf numFmtId="170" fontId="0" fillId="6" borderId="2" xfId="4" applyNumberFormat="1" applyFont="1" applyFill="1" applyBorder="1"/>
    <xf numFmtId="9" fontId="0" fillId="6" borderId="2" xfId="5" applyFont="1" applyFill="1" applyBorder="1" applyProtection="1">
      <protection locked="0"/>
    </xf>
    <xf numFmtId="0" fontId="7" fillId="2" borderId="0" xfId="3" applyFont="1" applyFill="1"/>
    <xf numFmtId="0" fontId="12" fillId="15" borderId="0" xfId="3" applyFill="1"/>
    <xf numFmtId="0" fontId="18" fillId="16" borderId="0" xfId="7" applyFont="1" applyFill="1" applyAlignment="1">
      <alignment horizontal="left"/>
    </xf>
    <xf numFmtId="0" fontId="18" fillId="16" borderId="0" xfId="7" applyFont="1" applyFill="1" applyAlignment="1">
      <alignment horizontal="center"/>
    </xf>
    <xf numFmtId="0" fontId="18" fillId="16" borderId="0" xfId="7" applyFont="1" applyFill="1" applyAlignment="1">
      <alignment horizontal="right"/>
    </xf>
    <xf numFmtId="0" fontId="19" fillId="0" borderId="0" xfId="7" applyFont="1"/>
    <xf numFmtId="38" fontId="19" fillId="0" borderId="0" xfId="7" applyNumberFormat="1" applyFont="1"/>
    <xf numFmtId="1" fontId="19" fillId="0" borderId="0" xfId="7" applyNumberFormat="1" applyFont="1"/>
    <xf numFmtId="9" fontId="19" fillId="0" borderId="0" xfId="7" applyNumberFormat="1" applyFont="1"/>
    <xf numFmtId="0" fontId="0" fillId="17" borderId="0" xfId="0" applyFill="1"/>
    <xf numFmtId="0" fontId="3" fillId="14" borderId="0" xfId="0" applyFont="1" applyFill="1"/>
    <xf numFmtId="3" fontId="0" fillId="0" borderId="0" xfId="0" applyNumberFormat="1"/>
    <xf numFmtId="9" fontId="0" fillId="0" borderId="0" xfId="0" applyNumberFormat="1"/>
    <xf numFmtId="0" fontId="12" fillId="2" borderId="0" xfId="3" applyFill="1"/>
    <xf numFmtId="3" fontId="18" fillId="16" borderId="0" xfId="7" applyNumberFormat="1" applyFont="1" applyFill="1" applyAlignment="1">
      <alignment horizontal="right"/>
    </xf>
    <xf numFmtId="1" fontId="18" fillId="16" borderId="0" xfId="7" applyNumberFormat="1" applyFont="1" applyFill="1" applyAlignment="1">
      <alignment horizontal="right"/>
    </xf>
    <xf numFmtId="38" fontId="19" fillId="0" borderId="0" xfId="7" applyNumberFormat="1" applyFont="1" applyAlignment="1">
      <alignment horizontal="right"/>
    </xf>
    <xf numFmtId="43" fontId="0" fillId="0" borderId="0" xfId="0" applyNumberFormat="1"/>
    <xf numFmtId="43" fontId="0" fillId="18" borderId="0" xfId="0" applyNumberFormat="1" applyFill="1"/>
    <xf numFmtId="0" fontId="21" fillId="0" borderId="0" xfId="7" applyFont="1"/>
    <xf numFmtId="0" fontId="20" fillId="4" borderId="0" xfId="3" applyFont="1" applyFill="1"/>
    <xf numFmtId="17" fontId="22" fillId="15" borderId="0" xfId="3" applyNumberFormat="1" applyFont="1" applyFill="1" applyAlignment="1">
      <alignment horizontal="right"/>
    </xf>
    <xf numFmtId="3" fontId="22" fillId="15" borderId="0" xfId="3" applyNumberFormat="1" applyFont="1" applyFill="1" applyAlignment="1">
      <alignment horizontal="right"/>
    </xf>
    <xf numFmtId="0" fontId="23" fillId="15" borderId="0" xfId="3" applyFont="1" applyFill="1" applyAlignment="1">
      <alignment horizontal="right"/>
    </xf>
    <xf numFmtId="0" fontId="22" fillId="15" borderId="0" xfId="3" applyFont="1" applyFill="1" applyAlignment="1">
      <alignment horizontal="right"/>
    </xf>
    <xf numFmtId="3" fontId="12" fillId="15" borderId="0" xfId="3" applyNumberFormat="1" applyFill="1" applyAlignment="1">
      <alignment horizontal="right"/>
    </xf>
    <xf numFmtId="0" fontId="12" fillId="15" borderId="0" xfId="3" applyFill="1" applyAlignment="1">
      <alignment horizontal="right"/>
    </xf>
    <xf numFmtId="3" fontId="12" fillId="15" borderId="0" xfId="3" applyNumberFormat="1" applyFill="1"/>
    <xf numFmtId="0" fontId="3" fillId="17" borderId="0" xfId="0" applyFont="1" applyFill="1"/>
    <xf numFmtId="0" fontId="20" fillId="2" borderId="0" xfId="3" applyFont="1" applyFill="1"/>
    <xf numFmtId="0" fontId="12" fillId="15" borderId="0" xfId="3" applyFill="1" applyAlignment="1">
      <alignment horizontal="left"/>
    </xf>
    <xf numFmtId="9" fontId="12" fillId="15" borderId="0" xfId="3" applyNumberFormat="1" applyFill="1"/>
    <xf numFmtId="43" fontId="3" fillId="0" borderId="0" xfId="0" applyNumberFormat="1" applyFont="1"/>
    <xf numFmtId="43" fontId="0" fillId="17" borderId="0" xfId="0" applyNumberFormat="1" applyFill="1"/>
    <xf numFmtId="0" fontId="0" fillId="0" borderId="24" xfId="0" applyBorder="1"/>
    <xf numFmtId="43" fontId="0" fillId="0" borderId="24" xfId="0" applyNumberFormat="1" applyBorder="1"/>
    <xf numFmtId="43" fontId="0" fillId="17" borderId="24" xfId="0" applyNumberFormat="1" applyFill="1" applyBorder="1"/>
    <xf numFmtId="3" fontId="3" fillId="0" borderId="0" xfId="0" applyNumberFormat="1" applyFont="1"/>
    <xf numFmtId="0" fontId="7" fillId="5" borderId="0" xfId="0" applyFont="1" applyFill="1" applyAlignment="1">
      <alignment horizontal="left" wrapText="1" indent="15"/>
    </xf>
    <xf numFmtId="0" fontId="7" fillId="5" borderId="19" xfId="0" applyFont="1" applyFill="1" applyBorder="1" applyAlignment="1">
      <alignment horizontal="left" wrapText="1" indent="9"/>
    </xf>
    <xf numFmtId="0" fontId="7" fillId="5" borderId="0" xfId="0" applyFont="1" applyFill="1" applyAlignment="1">
      <alignment horizontal="left" wrapText="1" indent="9"/>
    </xf>
    <xf numFmtId="0" fontId="7" fillId="5" borderId="0" xfId="0" applyFont="1" applyFill="1" applyAlignment="1">
      <alignment horizontal="left" wrapText="1" indent="13"/>
    </xf>
    <xf numFmtId="168" fontId="7" fillId="5" borderId="0" xfId="0" applyNumberFormat="1" applyFont="1" applyFill="1" applyAlignment="1">
      <alignment horizontal="left" wrapText="1"/>
    </xf>
    <xf numFmtId="168" fontId="7" fillId="5" borderId="21" xfId="0" applyNumberFormat="1" applyFont="1" applyFill="1" applyBorder="1" applyAlignment="1">
      <alignment horizontal="left" wrapText="1"/>
    </xf>
    <xf numFmtId="168" fontId="7" fillId="5" borderId="28" xfId="0" applyNumberFormat="1" applyFont="1" applyFill="1" applyBorder="1" applyAlignment="1">
      <alignment horizontal="left" wrapText="1"/>
    </xf>
    <xf numFmtId="168" fontId="7" fillId="5" borderId="0" xfId="0" applyNumberFormat="1" applyFont="1" applyFill="1"/>
    <xf numFmtId="168" fontId="7" fillId="5" borderId="21" xfId="0" applyNumberFormat="1" applyFont="1" applyFill="1" applyBorder="1"/>
    <xf numFmtId="4" fontId="0" fillId="9" borderId="29" xfId="0" applyNumberFormat="1" applyFill="1" applyBorder="1" applyProtection="1">
      <protection locked="0"/>
    </xf>
    <xf numFmtId="4" fontId="3" fillId="5" borderId="30" xfId="0" applyNumberFormat="1" applyFont="1" applyFill="1" applyBorder="1" applyProtection="1">
      <protection locked="0"/>
    </xf>
    <xf numFmtId="4" fontId="0" fillId="5" borderId="31" xfId="0" applyNumberFormat="1" applyFill="1" applyBorder="1" applyProtection="1">
      <protection locked="0"/>
    </xf>
    <xf numFmtId="4" fontId="0" fillId="5" borderId="32" xfId="0" applyNumberFormat="1" applyFill="1" applyBorder="1" applyProtection="1">
      <protection locked="0"/>
    </xf>
    <xf numFmtId="4" fontId="0" fillId="9" borderId="31" xfId="0" applyNumberFormat="1" applyFill="1" applyBorder="1" applyProtection="1">
      <protection locked="0"/>
    </xf>
    <xf numFmtId="4" fontId="3" fillId="5" borderId="32" xfId="0" applyNumberFormat="1" applyFont="1" applyFill="1" applyBorder="1" applyProtection="1">
      <protection locked="0"/>
    </xf>
    <xf numFmtId="4" fontId="0" fillId="5" borderId="33" xfId="0" applyNumberFormat="1" applyFill="1" applyBorder="1" applyProtection="1">
      <protection locked="0"/>
    </xf>
    <xf numFmtId="4" fontId="0" fillId="5" borderId="34" xfId="0" applyNumberFormat="1" applyFill="1" applyBorder="1" applyProtection="1">
      <protection locked="0"/>
    </xf>
    <xf numFmtId="0" fontId="0" fillId="0" borderId="0" xfId="0" applyAlignment="1">
      <alignment vertical="top" wrapText="1"/>
    </xf>
    <xf numFmtId="0" fontId="14" fillId="5" borderId="31" xfId="0" applyFont="1" applyFill="1" applyBorder="1" applyProtection="1">
      <protection locked="0"/>
    </xf>
    <xf numFmtId="0" fontId="14" fillId="5" borderId="32" xfId="0" applyFont="1" applyFill="1" applyBorder="1" applyProtection="1">
      <protection locked="0"/>
    </xf>
    <xf numFmtId="0" fontId="12" fillId="15" borderId="0" xfId="0" applyFont="1" applyFill="1" applyAlignment="1">
      <alignment horizontal="left" wrapText="1"/>
    </xf>
    <xf numFmtId="0" fontId="12" fillId="5" borderId="0" xfId="0" applyFont="1" applyFill="1" applyAlignment="1">
      <alignment horizontal="left" wrapText="1"/>
    </xf>
    <xf numFmtId="0" fontId="12" fillId="5" borderId="19" xfId="0" applyFont="1" applyFill="1" applyBorder="1" applyAlignment="1">
      <alignment horizontal="left" wrapText="1"/>
    </xf>
    <xf numFmtId="168" fontId="12" fillId="5" borderId="19" xfId="0" applyNumberFormat="1" applyFont="1" applyFill="1" applyBorder="1" applyAlignment="1">
      <alignment horizontal="left" wrapText="1"/>
    </xf>
    <xf numFmtId="168" fontId="12" fillId="5" borderId="0" xfId="0" applyNumberFormat="1" applyFont="1" applyFill="1" applyAlignment="1">
      <alignment horizontal="left" wrapText="1"/>
    </xf>
    <xf numFmtId="168" fontId="0" fillId="5" borderId="0" xfId="0" applyNumberFormat="1" applyFill="1" applyAlignment="1">
      <alignment horizontal="left" wrapText="1"/>
    </xf>
    <xf numFmtId="168" fontId="0" fillId="5" borderId="19" xfId="0" applyNumberFormat="1" applyFill="1" applyBorder="1" applyAlignment="1">
      <alignment horizontal="left" wrapText="1"/>
    </xf>
    <xf numFmtId="0" fontId="7" fillId="5" borderId="2" xfId="0" applyFont="1" applyFill="1" applyBorder="1"/>
    <xf numFmtId="0" fontId="0" fillId="15" borderId="0" xfId="0" applyFill="1"/>
    <xf numFmtId="0" fontId="7" fillId="5" borderId="0" xfId="0" applyFont="1" applyFill="1" applyAlignment="1">
      <alignment horizontal="right"/>
    </xf>
    <xf numFmtId="168" fontId="0" fillId="5" borderId="0" xfId="0" applyNumberFormat="1" applyFill="1"/>
    <xf numFmtId="0" fontId="7" fillId="5" borderId="21" xfId="0" applyFont="1" applyFill="1" applyBorder="1"/>
    <xf numFmtId="0" fontId="0" fillId="0" borderId="35" xfId="0" applyBorder="1"/>
    <xf numFmtId="4" fontId="0" fillId="5" borderId="35" xfId="0" applyNumberFormat="1" applyFill="1" applyBorder="1" applyProtection="1">
      <protection locked="0"/>
    </xf>
    <xf numFmtId="4" fontId="0" fillId="9" borderId="35" xfId="0" applyNumberFormat="1" applyFill="1" applyBorder="1" applyProtection="1">
      <protection locked="0"/>
    </xf>
    <xf numFmtId="0" fontId="0" fillId="9" borderId="0" xfId="0" applyFill="1"/>
    <xf numFmtId="0" fontId="3" fillId="9" borderId="0" xfId="0" applyFont="1" applyFill="1"/>
    <xf numFmtId="0" fontId="0" fillId="0" borderId="36" xfId="0" applyBorder="1"/>
    <xf numFmtId="166" fontId="0" fillId="0" borderId="36" xfId="1" applyFont="1" applyBorder="1"/>
    <xf numFmtId="0" fontId="3" fillId="0" borderId="36" xfId="0" applyFont="1" applyBorder="1"/>
    <xf numFmtId="0" fontId="13" fillId="0" borderId="36" xfId="3" applyFont="1" applyBorder="1"/>
    <xf numFmtId="169" fontId="13" fillId="0" borderId="36" xfId="3" applyNumberFormat="1" applyFont="1" applyBorder="1"/>
    <xf numFmtId="0" fontId="13" fillId="10" borderId="28" xfId="3" applyFont="1" applyFill="1" applyBorder="1"/>
    <xf numFmtId="0" fontId="13" fillId="10" borderId="3" xfId="3" applyFont="1" applyFill="1" applyBorder="1"/>
    <xf numFmtId="169" fontId="13" fillId="0" borderId="37" xfId="3" applyNumberFormat="1" applyFont="1" applyBorder="1"/>
    <xf numFmtId="0" fontId="0" fillId="0" borderId="37" xfId="0" applyBorder="1"/>
    <xf numFmtId="169" fontId="13" fillId="0" borderId="38" xfId="3" applyNumberFormat="1" applyFont="1" applyBorder="1"/>
    <xf numFmtId="0" fontId="7" fillId="5" borderId="36" xfId="0" applyFont="1" applyFill="1" applyBorder="1" applyAlignment="1">
      <alignment horizontal="left" wrapText="1"/>
    </xf>
    <xf numFmtId="0" fontId="7" fillId="5" borderId="36" xfId="0" applyFont="1" applyFill="1" applyBorder="1" applyAlignment="1">
      <alignment horizontal="center" wrapText="1"/>
    </xf>
    <xf numFmtId="0" fontId="7" fillId="5" borderId="36" xfId="0" applyFont="1" applyFill="1" applyBorder="1"/>
    <xf numFmtId="0" fontId="0" fillId="5" borderId="36" xfId="0" applyFill="1" applyBorder="1"/>
    <xf numFmtId="0" fontId="8" fillId="5" borderId="36" xfId="0" applyFont="1" applyFill="1" applyBorder="1"/>
    <xf numFmtId="168" fontId="0" fillId="5" borderId="36" xfId="1" applyNumberFormat="1" applyFont="1" applyFill="1" applyBorder="1" applyProtection="1"/>
    <xf numFmtId="168" fontId="0" fillId="5" borderId="36" xfId="1" applyNumberFormat="1" applyFont="1" applyFill="1" applyBorder="1"/>
    <xf numFmtId="0" fontId="0" fillId="0" borderId="39" xfId="0" applyBorder="1"/>
    <xf numFmtId="0" fontId="0" fillId="0" borderId="0" xfId="0" applyAlignment="1">
      <alignment horizontal="left" wrapText="1"/>
    </xf>
    <xf numFmtId="0" fontId="3" fillId="0" borderId="0" xfId="0" applyFont="1" applyAlignment="1">
      <alignment horizontal="left"/>
    </xf>
    <xf numFmtId="172" fontId="26" fillId="19" borderId="0" xfId="3" applyNumberFormat="1" applyFont="1" applyFill="1" applyAlignment="1">
      <alignment vertical="center"/>
    </xf>
    <xf numFmtId="0" fontId="12" fillId="19" borderId="0" xfId="3" applyFill="1"/>
    <xf numFmtId="172" fontId="26" fillId="19" borderId="0" xfId="3" applyNumberFormat="1" applyFont="1" applyFill="1" applyAlignment="1">
      <alignment vertical="center" wrapText="1"/>
    </xf>
    <xf numFmtId="173" fontId="15" fillId="19" borderId="0" xfId="9" applyNumberFormat="1" applyFont="1" applyFill="1" applyAlignment="1">
      <alignment horizontal="right"/>
    </xf>
    <xf numFmtId="172" fontId="15" fillId="19" borderId="0" xfId="3" applyNumberFormat="1" applyFont="1" applyFill="1" applyAlignment="1">
      <alignment vertical="center"/>
    </xf>
    <xf numFmtId="172" fontId="12" fillId="19" borderId="0" xfId="3" applyNumberFormat="1" applyFill="1"/>
    <xf numFmtId="174" fontId="15" fillId="19" borderId="0" xfId="9" applyNumberFormat="1" applyFont="1" applyFill="1" applyAlignment="1">
      <alignment horizontal="right"/>
    </xf>
    <xf numFmtId="0" fontId="12" fillId="19" borderId="40" xfId="3" applyFill="1" applyBorder="1"/>
    <xf numFmtId="0" fontId="26" fillId="19" borderId="41" xfId="3" applyFont="1" applyFill="1" applyBorder="1" applyAlignment="1">
      <alignment vertical="center" wrapText="1"/>
    </xf>
    <xf numFmtId="0" fontId="26" fillId="19" borderId="42" xfId="3" applyFont="1" applyFill="1" applyBorder="1" applyAlignment="1">
      <alignment vertical="center" wrapText="1"/>
    </xf>
    <xf numFmtId="172" fontId="26" fillId="19" borderId="40" xfId="3" applyNumberFormat="1" applyFont="1" applyFill="1" applyBorder="1" applyAlignment="1">
      <alignment vertical="center"/>
    </xf>
    <xf numFmtId="0" fontId="26" fillId="19" borderId="41" xfId="3" applyFont="1" applyFill="1" applyBorder="1" applyAlignment="1">
      <alignment horizontal="center" vertical="center" wrapText="1"/>
    </xf>
    <xf numFmtId="0" fontId="26" fillId="19" borderId="42" xfId="3" applyFont="1" applyFill="1" applyBorder="1" applyAlignment="1">
      <alignment horizontal="center" vertical="center" wrapText="1"/>
    </xf>
    <xf numFmtId="4" fontId="12" fillId="5" borderId="1" xfId="3" applyNumberFormat="1" applyFill="1" applyBorder="1" applyProtection="1">
      <protection locked="0"/>
    </xf>
    <xf numFmtId="4" fontId="12" fillId="9" borderId="1" xfId="3" applyNumberFormat="1" applyFill="1" applyBorder="1" applyProtection="1">
      <protection locked="0"/>
    </xf>
    <xf numFmtId="172" fontId="26" fillId="19" borderId="40" xfId="0" applyNumberFormat="1" applyFont="1" applyFill="1" applyBorder="1" applyAlignment="1">
      <alignment vertical="center"/>
    </xf>
    <xf numFmtId="0" fontId="26" fillId="19" borderId="41" xfId="0" applyFont="1" applyFill="1" applyBorder="1" applyAlignment="1">
      <alignment horizontal="center" vertical="center" wrapText="1"/>
    </xf>
    <xf numFmtId="0" fontId="26" fillId="19" borderId="42" xfId="0" applyFont="1" applyFill="1" applyBorder="1" applyAlignment="1">
      <alignment horizontal="center" vertical="center" wrapText="1"/>
    </xf>
    <xf numFmtId="173" fontId="15" fillId="19" borderId="0" xfId="6" applyNumberFormat="1" applyFont="1" applyFill="1" applyAlignment="1">
      <alignment horizontal="right"/>
    </xf>
    <xf numFmtId="172" fontId="15" fillId="19" borderId="0" xfId="0" applyNumberFormat="1" applyFont="1" applyFill="1" applyAlignment="1">
      <alignment vertical="center"/>
    </xf>
    <xf numFmtId="172" fontId="0" fillId="19" borderId="0" xfId="0" applyNumberFormat="1" applyFill="1"/>
    <xf numFmtId="173" fontId="26" fillId="19" borderId="41" xfId="6" applyNumberFormat="1" applyFont="1" applyFill="1" applyBorder="1" applyAlignment="1">
      <alignment horizontal="right"/>
    </xf>
    <xf numFmtId="173" fontId="26" fillId="19" borderId="40" xfId="6" applyNumberFormat="1" applyFont="1" applyFill="1" applyBorder="1" applyAlignment="1">
      <alignment horizontal="right"/>
    </xf>
    <xf numFmtId="0" fontId="14" fillId="0" borderId="0" xfId="0" applyFont="1"/>
    <xf numFmtId="0" fontId="0" fillId="0" borderId="43" xfId="0" applyBorder="1"/>
    <xf numFmtId="166" fontId="0" fillId="14" borderId="0" xfId="1" applyFont="1" applyFill="1"/>
    <xf numFmtId="175" fontId="0" fillId="0" borderId="0" xfId="1" applyNumberFormat="1" applyFont="1"/>
    <xf numFmtId="0" fontId="0" fillId="0" borderId="0" xfId="0" applyAlignment="1">
      <alignment horizontal="center"/>
    </xf>
    <xf numFmtId="9" fontId="0" fillId="0" borderId="0" xfId="2" applyFont="1"/>
    <xf numFmtId="2" fontId="0" fillId="14" borderId="0" xfId="0" applyNumberFormat="1" applyFill="1"/>
    <xf numFmtId="10" fontId="3" fillId="14" borderId="0" xfId="2" applyNumberFormat="1" applyFont="1" applyFill="1"/>
    <xf numFmtId="4" fontId="0" fillId="0" borderId="0" xfId="0" applyNumberFormat="1"/>
    <xf numFmtId="4" fontId="3" fillId="0" borderId="0" xfId="0" applyNumberFormat="1" applyFont="1"/>
    <xf numFmtId="171" fontId="0" fillId="0" borderId="0" xfId="0" applyNumberFormat="1"/>
    <xf numFmtId="4" fontId="27" fillId="0" borderId="0" xfId="0" applyNumberFormat="1" applyFont="1"/>
    <xf numFmtId="10" fontId="28" fillId="0" borderId="0" xfId="0" applyNumberFormat="1" applyFont="1"/>
    <xf numFmtId="4" fontId="28" fillId="0" borderId="0" xfId="0" applyNumberFormat="1" applyFont="1"/>
    <xf numFmtId="171" fontId="28" fillId="0" borderId="0" xfId="0" applyNumberFormat="1" applyFont="1"/>
    <xf numFmtId="176" fontId="0" fillId="0" borderId="0" xfId="0" applyNumberFormat="1"/>
    <xf numFmtId="174" fontId="0" fillId="0" borderId="0" xfId="0" applyNumberFormat="1"/>
    <xf numFmtId="177" fontId="0" fillId="0" borderId="0" xfId="0" applyNumberFormat="1"/>
    <xf numFmtId="176" fontId="3" fillId="6" borderId="0" xfId="0" applyNumberFormat="1" applyFont="1" applyFill="1"/>
    <xf numFmtId="176" fontId="3" fillId="0" borderId="0" xfId="0" applyNumberFormat="1" applyFont="1"/>
    <xf numFmtId="2" fontId="12" fillId="5" borderId="2" xfId="3" applyNumberFormat="1" applyFill="1" applyBorder="1" applyProtection="1">
      <protection locked="0"/>
    </xf>
    <xf numFmtId="9" fontId="12" fillId="5" borderId="2" xfId="5" applyFont="1" applyFill="1" applyBorder="1" applyProtection="1">
      <protection locked="0"/>
    </xf>
    <xf numFmtId="166" fontId="3" fillId="6" borderId="0" xfId="1" applyFont="1" applyFill="1"/>
    <xf numFmtId="0" fontId="0" fillId="0" borderId="45" xfId="0" applyBorder="1"/>
    <xf numFmtId="0" fontId="0" fillId="0" borderId="46" xfId="0" applyBorder="1"/>
    <xf numFmtId="0" fontId="0" fillId="5" borderId="47" xfId="0" applyFill="1" applyBorder="1"/>
    <xf numFmtId="165" fontId="3" fillId="5" borderId="48" xfId="6" applyFont="1" applyFill="1" applyBorder="1" applyProtection="1">
      <protection locked="0"/>
    </xf>
    <xf numFmtId="2" fontId="0" fillId="5" borderId="48" xfId="0" applyNumberFormat="1" applyFill="1" applyBorder="1" applyProtection="1">
      <protection locked="0"/>
    </xf>
    <xf numFmtId="0" fontId="0" fillId="5" borderId="48" xfId="0" applyFill="1" applyBorder="1"/>
    <xf numFmtId="0" fontId="0" fillId="5" borderId="49" xfId="0" applyFill="1" applyBorder="1"/>
    <xf numFmtId="0" fontId="29" fillId="0" borderId="0" xfId="0" applyFont="1"/>
    <xf numFmtId="0" fontId="0" fillId="5" borderId="50" xfId="0" applyFill="1" applyBorder="1"/>
    <xf numFmtId="0" fontId="0" fillId="5" borderId="43" xfId="0" applyFill="1" applyBorder="1"/>
    <xf numFmtId="0" fontId="0" fillId="5" borderId="51" xfId="0" applyFill="1" applyBorder="1"/>
    <xf numFmtId="2" fontId="3" fillId="5" borderId="52" xfId="0" applyNumberFormat="1" applyFont="1" applyFill="1" applyBorder="1" applyProtection="1">
      <protection locked="0"/>
    </xf>
    <xf numFmtId="2" fontId="0" fillId="5" borderId="43" xfId="0" applyNumberFormat="1" applyFill="1" applyBorder="1" applyProtection="1">
      <protection locked="0"/>
    </xf>
    <xf numFmtId="2" fontId="3" fillId="5" borderId="53" xfId="0" applyNumberFormat="1" applyFont="1" applyFill="1" applyBorder="1" applyProtection="1">
      <protection locked="0"/>
    </xf>
    <xf numFmtId="0" fontId="2" fillId="5" borderId="43" xfId="0" applyFont="1" applyFill="1" applyBorder="1"/>
    <xf numFmtId="0" fontId="0" fillId="5" borderId="54" xfId="0" applyFill="1" applyBorder="1"/>
    <xf numFmtId="2" fontId="3" fillId="5" borderId="55" xfId="0" applyNumberFormat="1" applyFont="1" applyFill="1" applyBorder="1" applyProtection="1">
      <protection locked="0"/>
    </xf>
    <xf numFmtId="2" fontId="0" fillId="5" borderId="52" xfId="0" applyNumberFormat="1" applyFill="1" applyBorder="1" applyProtection="1">
      <protection locked="0"/>
    </xf>
    <xf numFmtId="0" fontId="0" fillId="5" borderId="52" xfId="0" applyFill="1" applyBorder="1"/>
    <xf numFmtId="0" fontId="0" fillId="5" borderId="56" xfId="0" applyFill="1" applyBorder="1"/>
    <xf numFmtId="0" fontId="0" fillId="5" borderId="57" xfId="0" applyFill="1" applyBorder="1"/>
    <xf numFmtId="2" fontId="3" fillId="5" borderId="58" xfId="0" applyNumberFormat="1" applyFont="1" applyFill="1" applyBorder="1" applyProtection="1">
      <protection locked="0"/>
    </xf>
    <xf numFmtId="2" fontId="0" fillId="5" borderId="58" xfId="0" applyNumberFormat="1" applyFill="1" applyBorder="1" applyProtection="1">
      <protection locked="0"/>
    </xf>
    <xf numFmtId="0" fontId="0" fillId="5" borderId="58" xfId="0" applyFill="1" applyBorder="1"/>
    <xf numFmtId="0" fontId="28" fillId="0" borderId="0" xfId="0" applyFont="1"/>
    <xf numFmtId="0" fontId="0" fillId="0" borderId="53" xfId="0" applyBorder="1"/>
    <xf numFmtId="0" fontId="0" fillId="0" borderId="57" xfId="0" applyBorder="1"/>
    <xf numFmtId="0" fontId="0" fillId="0" borderId="59" xfId="0" applyBorder="1"/>
    <xf numFmtId="0" fontId="0" fillId="7" borderId="60" xfId="0" applyFill="1" applyBorder="1"/>
    <xf numFmtId="0" fontId="0" fillId="7" borderId="61" xfId="0" applyFill="1" applyBorder="1"/>
    <xf numFmtId="0" fontId="0" fillId="7" borderId="62" xfId="0" applyFill="1" applyBorder="1"/>
    <xf numFmtId="9" fontId="2" fillId="0" borderId="0" xfId="2" applyFont="1"/>
    <xf numFmtId="166" fontId="0" fillId="18" borderId="0" xfId="0" applyNumberFormat="1" applyFill="1"/>
    <xf numFmtId="16" fontId="3" fillId="0" borderId="0" xfId="0" applyNumberFormat="1" applyFont="1"/>
    <xf numFmtId="171" fontId="3" fillId="18" borderId="0" xfId="0" applyNumberFormat="1" applyFont="1" applyFill="1"/>
    <xf numFmtId="4" fontId="0" fillId="5" borderId="43" xfId="0" applyNumberFormat="1" applyFill="1" applyBorder="1" applyAlignment="1" applyProtection="1">
      <alignment horizontal="left" vertical="top"/>
      <protection locked="0"/>
    </xf>
    <xf numFmtId="3" fontId="3" fillId="5" borderId="63" xfId="0" applyNumberFormat="1" applyFont="1" applyFill="1" applyBorder="1" applyAlignment="1" applyProtection="1">
      <alignment horizontal="left" vertical="top"/>
      <protection locked="0"/>
    </xf>
    <xf numFmtId="4" fontId="3" fillId="5" borderId="43" xfId="0" applyNumberFormat="1" applyFont="1" applyFill="1" applyBorder="1" applyAlignment="1" applyProtection="1">
      <alignment horizontal="left" vertical="top"/>
      <protection locked="0"/>
    </xf>
    <xf numFmtId="4" fontId="0" fillId="5" borderId="53" xfId="0" applyNumberFormat="1" applyFill="1" applyBorder="1" applyAlignment="1" applyProtection="1">
      <alignment horizontal="left" vertical="top"/>
      <protection locked="0"/>
    </xf>
    <xf numFmtId="4" fontId="3" fillId="5" borderId="45" xfId="0" applyNumberFormat="1" applyFont="1" applyFill="1" applyBorder="1" applyAlignment="1" applyProtection="1">
      <alignment horizontal="left" vertical="top"/>
      <protection locked="0"/>
    </xf>
    <xf numFmtId="4" fontId="0" fillId="5" borderId="45" xfId="0" applyNumberFormat="1" applyFill="1" applyBorder="1" applyAlignment="1" applyProtection="1">
      <alignment horizontal="left" vertical="top"/>
      <protection locked="0"/>
    </xf>
    <xf numFmtId="0" fontId="0" fillId="5" borderId="45" xfId="0" applyFill="1" applyBorder="1"/>
    <xf numFmtId="0" fontId="7" fillId="5" borderId="43" xfId="0" applyFont="1" applyFill="1" applyBorder="1" applyAlignment="1" applyProtection="1">
      <alignment horizontal="left" vertical="top" wrapText="1"/>
      <protection locked="0"/>
    </xf>
    <xf numFmtId="0" fontId="7" fillId="5" borderId="43" xfId="0" applyFont="1" applyFill="1" applyBorder="1" applyAlignment="1" applyProtection="1">
      <alignment vertical="top" wrapText="1"/>
      <protection locked="0"/>
    </xf>
    <xf numFmtId="0" fontId="3" fillId="0" borderId="43" xfId="0" applyFont="1" applyBorder="1"/>
    <xf numFmtId="0" fontId="0" fillId="0" borderId="64" xfId="0" applyBorder="1"/>
    <xf numFmtId="4" fontId="7" fillId="5" borderId="43" xfId="3" applyNumberFormat="1" applyFont="1" applyFill="1" applyBorder="1" applyAlignment="1" applyProtection="1">
      <alignment horizontal="left" vertical="top"/>
      <protection locked="0"/>
    </xf>
    <xf numFmtId="4" fontId="12" fillId="5" borderId="43" xfId="3" applyNumberFormat="1" applyFill="1" applyBorder="1" applyAlignment="1" applyProtection="1">
      <alignment horizontal="left" vertical="top"/>
      <protection locked="0"/>
    </xf>
    <xf numFmtId="3" fontId="7" fillId="5" borderId="43" xfId="3" applyNumberFormat="1" applyFont="1" applyFill="1" applyBorder="1" applyAlignment="1" applyProtection="1">
      <alignment horizontal="left" vertical="top"/>
      <protection locked="0"/>
    </xf>
    <xf numFmtId="4" fontId="12" fillId="9" borderId="43" xfId="3" applyNumberFormat="1" applyFill="1" applyBorder="1" applyAlignment="1" applyProtection="1">
      <alignment horizontal="left" vertical="top"/>
      <protection locked="0"/>
    </xf>
    <xf numFmtId="4" fontId="12" fillId="0" borderId="43" xfId="3" applyNumberFormat="1" applyBorder="1" applyAlignment="1" applyProtection="1">
      <alignment horizontal="left" vertical="top"/>
      <protection locked="0"/>
    </xf>
    <xf numFmtId="10" fontId="0" fillId="5" borderId="43" xfId="2" applyNumberFormat="1" applyFont="1" applyFill="1" applyBorder="1" applyAlignment="1" applyProtection="1">
      <alignment horizontal="left" vertical="top"/>
      <protection locked="0"/>
    </xf>
    <xf numFmtId="4" fontId="0" fillId="9" borderId="43" xfId="0" applyNumberFormat="1" applyFill="1" applyBorder="1" applyAlignment="1" applyProtection="1">
      <alignment horizontal="left" vertical="top"/>
      <protection locked="0"/>
    </xf>
    <xf numFmtId="4" fontId="0" fillId="0" borderId="43" xfId="0" applyNumberFormat="1" applyBorder="1" applyAlignment="1" applyProtection="1">
      <alignment horizontal="left" vertical="top"/>
      <protection locked="0"/>
    </xf>
    <xf numFmtId="4" fontId="7" fillId="4" borderId="11" xfId="0" applyNumberFormat="1" applyFont="1" applyFill="1" applyBorder="1"/>
    <xf numFmtId="0" fontId="7" fillId="4" borderId="13" xfId="0" applyFont="1" applyFill="1" applyBorder="1"/>
    <xf numFmtId="9" fontId="7" fillId="4" borderId="13" xfId="0" applyNumberFormat="1" applyFont="1" applyFill="1" applyBorder="1"/>
    <xf numFmtId="0" fontId="7" fillId="4" borderId="16" xfId="0" applyFont="1" applyFill="1" applyBorder="1" applyAlignment="1">
      <alignment horizontal="right"/>
    </xf>
    <xf numFmtId="166" fontId="0" fillId="9" borderId="0" xfId="1" applyFont="1" applyFill="1"/>
    <xf numFmtId="0" fontId="7" fillId="4" borderId="2" xfId="0" applyFont="1" applyFill="1" applyBorder="1"/>
    <xf numFmtId="3" fontId="7" fillId="4" borderId="2" xfId="0" applyNumberFormat="1" applyFont="1" applyFill="1" applyBorder="1"/>
    <xf numFmtId="9" fontId="7" fillId="4" borderId="2" xfId="0" applyNumberFormat="1" applyFont="1" applyFill="1" applyBorder="1"/>
    <xf numFmtId="1" fontId="7" fillId="4" borderId="2" xfId="0" applyNumberFormat="1" applyFont="1" applyFill="1" applyBorder="1"/>
    <xf numFmtId="0" fontId="7" fillId="4" borderId="2" xfId="0" applyFont="1" applyFill="1" applyBorder="1" applyAlignment="1">
      <alignment horizontal="right"/>
    </xf>
    <xf numFmtId="0" fontId="0" fillId="0" borderId="0" xfId="0" applyAlignment="1">
      <alignment horizontal="left"/>
    </xf>
    <xf numFmtId="0" fontId="7" fillId="0" borderId="0" xfId="0" applyFont="1"/>
    <xf numFmtId="10" fontId="3" fillId="0" borderId="0" xfId="2" applyNumberFormat="1" applyFont="1"/>
    <xf numFmtId="10" fontId="0" fillId="9" borderId="0" xfId="2" applyNumberFormat="1" applyFont="1" applyFill="1"/>
    <xf numFmtId="166" fontId="28" fillId="0" borderId="0" xfId="1" applyFont="1"/>
    <xf numFmtId="166" fontId="12" fillId="0" borderId="0" xfId="1" applyFont="1" applyFill="1"/>
    <xf numFmtId="166" fontId="12" fillId="0" borderId="0" xfId="1" applyFont="1"/>
    <xf numFmtId="1" fontId="12" fillId="14" borderId="2" xfId="1" applyNumberFormat="1" applyFont="1" applyFill="1" applyBorder="1" applyAlignment="1">
      <alignment horizontal="center"/>
    </xf>
    <xf numFmtId="166" fontId="12" fillId="0" borderId="0" xfId="1" applyFont="1" applyFill="1" applyAlignment="1">
      <alignment horizontal="center"/>
    </xf>
    <xf numFmtId="166" fontId="12" fillId="0" borderId="2" xfId="1" applyFont="1" applyBorder="1" applyAlignment="1">
      <alignment horizontal="left"/>
    </xf>
    <xf numFmtId="10" fontId="12" fillId="0" borderId="0" xfId="2" applyNumberFormat="1" applyFont="1"/>
    <xf numFmtId="10" fontId="25" fillId="0" borderId="0" xfId="2" applyNumberFormat="1" applyFont="1"/>
    <xf numFmtId="166" fontId="7" fillId="0" borderId="2" xfId="1" applyFont="1" applyBorder="1" applyAlignment="1">
      <alignment horizontal="left"/>
    </xf>
    <xf numFmtId="166" fontId="7" fillId="0" borderId="0" xfId="1" applyFont="1"/>
    <xf numFmtId="176" fontId="28" fillId="0" borderId="0" xfId="0" applyNumberFormat="1" applyFont="1"/>
    <xf numFmtId="2" fontId="7" fillId="5" borderId="2" xfId="0" applyNumberFormat="1" applyFont="1" applyFill="1" applyBorder="1" applyProtection="1">
      <protection locked="0"/>
    </xf>
    <xf numFmtId="168" fontId="7" fillId="5" borderId="2" xfId="1" applyNumberFormat="1" applyFont="1" applyFill="1" applyBorder="1" applyAlignment="1" applyProtection="1">
      <alignment horizontal="center"/>
      <protection locked="0"/>
    </xf>
    <xf numFmtId="178" fontId="0" fillId="5" borderId="2" xfId="0" applyNumberFormat="1" applyFill="1" applyBorder="1" applyProtection="1">
      <protection locked="0"/>
    </xf>
    <xf numFmtId="2" fontId="0" fillId="0" borderId="2" xfId="0" applyNumberFormat="1" applyBorder="1" applyProtection="1">
      <protection locked="0"/>
    </xf>
    <xf numFmtId="178" fontId="0" fillId="0" borderId="2" xfId="0" applyNumberFormat="1" applyBorder="1" applyProtection="1">
      <protection locked="0"/>
    </xf>
    <xf numFmtId="178" fontId="30" fillId="5" borderId="2" xfId="0" applyNumberFormat="1" applyFont="1" applyFill="1" applyBorder="1" applyProtection="1">
      <protection locked="0"/>
    </xf>
    <xf numFmtId="2" fontId="0" fillId="5" borderId="0" xfId="0" applyNumberFormat="1" applyFill="1" applyProtection="1">
      <protection locked="0"/>
    </xf>
    <xf numFmtId="49" fontId="0" fillId="0" borderId="0" xfId="0" applyNumberFormat="1" applyAlignment="1">
      <alignment horizontal="left"/>
    </xf>
    <xf numFmtId="0" fontId="0" fillId="0" borderId="18" xfId="0" applyBorder="1" applyAlignment="1">
      <alignment horizontal="center"/>
    </xf>
    <xf numFmtId="0" fontId="30" fillId="0" borderId="0" xfId="0" quotePrefix="1" applyFont="1"/>
    <xf numFmtId="0" fontId="31" fillId="0" borderId="0" xfId="0" applyFont="1"/>
    <xf numFmtId="0" fontId="0" fillId="0" borderId="2" xfId="0" applyBorder="1" applyAlignment="1">
      <alignment wrapText="1"/>
    </xf>
    <xf numFmtId="166" fontId="0" fillId="0" borderId="0" xfId="1" applyFont="1" applyBorder="1"/>
    <xf numFmtId="2" fontId="7" fillId="5" borderId="67" xfId="0" applyNumberFormat="1" applyFont="1" applyFill="1" applyBorder="1" applyProtection="1">
      <protection locked="0"/>
    </xf>
    <xf numFmtId="1" fontId="3" fillId="5" borderId="2" xfId="2" applyNumberFormat="1" applyFont="1" applyFill="1" applyBorder="1" applyProtection="1">
      <protection locked="0"/>
    </xf>
    <xf numFmtId="1" fontId="3" fillId="5" borderId="2" xfId="0" applyNumberFormat="1" applyFont="1" applyFill="1" applyBorder="1" applyProtection="1">
      <protection locked="0"/>
    </xf>
    <xf numFmtId="165" fontId="0" fillId="5" borderId="2" xfId="6" applyFont="1" applyFill="1" applyBorder="1" applyProtection="1">
      <protection locked="0"/>
    </xf>
    <xf numFmtId="10" fontId="0" fillId="6" borderId="2" xfId="2" applyNumberFormat="1" applyFont="1" applyFill="1" applyBorder="1" applyProtection="1">
      <protection locked="0"/>
    </xf>
    <xf numFmtId="2" fontId="3" fillId="5" borderId="2" xfId="0" quotePrefix="1" applyNumberFormat="1" applyFont="1" applyFill="1" applyBorder="1" applyProtection="1">
      <protection locked="0"/>
    </xf>
    <xf numFmtId="166" fontId="3" fillId="18" borderId="0" xfId="0" applyNumberFormat="1" applyFont="1" applyFill="1"/>
    <xf numFmtId="9" fontId="0" fillId="5" borderId="43" xfId="2" applyFont="1" applyFill="1" applyBorder="1" applyAlignment="1" applyProtection="1">
      <alignment horizontal="left" vertical="top"/>
      <protection locked="0"/>
    </xf>
    <xf numFmtId="4" fontId="0" fillId="9" borderId="0" xfId="0" applyNumberFormat="1" applyFill="1"/>
    <xf numFmtId="0" fontId="32" fillId="7" borderId="0" xfId="0" applyFont="1" applyFill="1" applyAlignment="1">
      <alignment horizontal="left"/>
    </xf>
    <xf numFmtId="0" fontId="32" fillId="11" borderId="0" xfId="0" applyFont="1" applyFill="1" applyAlignment="1">
      <alignment horizontal="left" vertical="top"/>
    </xf>
    <xf numFmtId="0" fontId="33" fillId="0" borderId="0" xfId="0" applyFont="1"/>
    <xf numFmtId="164" fontId="0" fillId="14" borderId="0" xfId="0" applyNumberFormat="1" applyFill="1"/>
    <xf numFmtId="0" fontId="0" fillId="14" borderId="0" xfId="0" applyFill="1"/>
    <xf numFmtId="179" fontId="0" fillId="0" borderId="0" xfId="0" applyNumberFormat="1"/>
    <xf numFmtId="0" fontId="34" fillId="0" borderId="9" xfId="0" applyFont="1" applyBorder="1"/>
    <xf numFmtId="9" fontId="34" fillId="0" borderId="11" xfId="0" applyNumberFormat="1" applyFont="1" applyBorder="1"/>
    <xf numFmtId="0" fontId="34" fillId="0" borderId="12" xfId="0" applyFont="1" applyBorder="1"/>
    <xf numFmtId="9" fontId="34" fillId="0" borderId="13" xfId="0" applyNumberFormat="1" applyFont="1" applyBorder="1"/>
    <xf numFmtId="179" fontId="34" fillId="0" borderId="13" xfId="0" applyNumberFormat="1" applyFont="1" applyBorder="1"/>
    <xf numFmtId="0" fontId="34" fillId="0" borderId="12" xfId="0" applyFont="1" applyBorder="1" applyAlignment="1">
      <alignment wrapText="1"/>
    </xf>
    <xf numFmtId="0" fontId="34" fillId="0" borderId="68" xfId="0" applyFont="1" applyBorder="1" applyAlignment="1">
      <alignment wrapText="1"/>
    </xf>
    <xf numFmtId="179" fontId="34" fillId="0" borderId="69" xfId="0" applyNumberFormat="1" applyFont="1" applyBorder="1"/>
    <xf numFmtId="179" fontId="0" fillId="14" borderId="0" xfId="0" applyNumberFormat="1" applyFill="1"/>
    <xf numFmtId="0" fontId="26" fillId="10" borderId="9" xfId="0" applyFont="1" applyFill="1" applyBorder="1"/>
    <xf numFmtId="0" fontId="13" fillId="10" borderId="11" xfId="0" applyFont="1" applyFill="1" applyBorder="1"/>
    <xf numFmtId="0" fontId="13" fillId="0" borderId="12" xfId="0" applyFont="1" applyBorder="1"/>
    <xf numFmtId="9" fontId="13" fillId="0" borderId="13" xfId="0" applyNumberFormat="1" applyFont="1" applyBorder="1"/>
    <xf numFmtId="168" fontId="13" fillId="0" borderId="13" xfId="1" applyNumberFormat="1" applyFont="1" applyFill="1" applyBorder="1"/>
    <xf numFmtId="9" fontId="13" fillId="0" borderId="13" xfId="5" applyFont="1" applyFill="1" applyBorder="1"/>
    <xf numFmtId="0" fontId="13" fillId="0" borderId="68" xfId="0" applyFont="1" applyBorder="1"/>
    <xf numFmtId="1" fontId="13" fillId="0" borderId="69" xfId="0" applyNumberFormat="1" applyFont="1" applyBorder="1"/>
    <xf numFmtId="0" fontId="13" fillId="0" borderId="14" xfId="0" applyFont="1" applyBorder="1"/>
    <xf numFmtId="9" fontId="13" fillId="0" borderId="16" xfId="5" applyFont="1" applyFill="1" applyBorder="1"/>
    <xf numFmtId="172" fontId="16" fillId="19" borderId="40" xfId="0" applyNumberFormat="1" applyFont="1" applyFill="1" applyBorder="1" applyAlignment="1">
      <alignment vertical="center"/>
    </xf>
    <xf numFmtId="0" fontId="16" fillId="19" borderId="41" xfId="0" applyFont="1" applyFill="1" applyBorder="1" applyAlignment="1">
      <alignment horizontal="right" vertical="center" wrapText="1"/>
    </xf>
    <xf numFmtId="0" fontId="16" fillId="19" borderId="42" xfId="0" applyFont="1" applyFill="1" applyBorder="1" applyAlignment="1">
      <alignment horizontal="right" vertical="center" wrapText="1"/>
    </xf>
    <xf numFmtId="172" fontId="16" fillId="19" borderId="0" xfId="0" applyNumberFormat="1" applyFont="1" applyFill="1" applyAlignment="1">
      <alignment vertical="center"/>
    </xf>
    <xf numFmtId="172" fontId="16" fillId="19" borderId="0" xfId="0" applyNumberFormat="1" applyFont="1" applyFill="1" applyAlignment="1">
      <alignment vertical="center" wrapText="1"/>
    </xf>
    <xf numFmtId="172" fontId="34" fillId="19" borderId="0" xfId="0" applyNumberFormat="1" applyFont="1" applyFill="1" applyAlignment="1">
      <alignment vertical="center"/>
    </xf>
    <xf numFmtId="167" fontId="34" fillId="19" borderId="0" xfId="6" applyNumberFormat="1" applyFont="1" applyFill="1" applyAlignment="1">
      <alignment horizontal="right"/>
    </xf>
    <xf numFmtId="172" fontId="12" fillId="19" borderId="0" xfId="0" applyNumberFormat="1" applyFont="1" applyFill="1"/>
    <xf numFmtId="0" fontId="12" fillId="19" borderId="40" xfId="0" applyFont="1" applyFill="1" applyBorder="1"/>
    <xf numFmtId="0" fontId="16" fillId="19" borderId="41" xfId="0" applyFont="1" applyFill="1" applyBorder="1" applyAlignment="1">
      <alignment vertical="center" wrapText="1"/>
    </xf>
    <xf numFmtId="0" fontId="16" fillId="19" borderId="42" xfId="0" applyFont="1" applyFill="1" applyBorder="1" applyAlignment="1">
      <alignment vertical="center" wrapText="1"/>
    </xf>
    <xf numFmtId="173" fontId="34" fillId="19" borderId="0" xfId="6" applyNumberFormat="1" applyFont="1" applyFill="1" applyAlignment="1">
      <alignment horizontal="right"/>
    </xf>
    <xf numFmtId="167" fontId="0" fillId="0" borderId="0" xfId="0" applyNumberFormat="1"/>
    <xf numFmtId="0" fontId="12" fillId="19" borderId="0" xfId="0" applyFont="1" applyFill="1"/>
    <xf numFmtId="167" fontId="12" fillId="19" borderId="0" xfId="0" applyNumberFormat="1" applyFont="1" applyFill="1"/>
    <xf numFmtId="172" fontId="35" fillId="19" borderId="0" xfId="0" applyNumberFormat="1" applyFont="1" applyFill="1"/>
    <xf numFmtId="172" fontId="34" fillId="19" borderId="0" xfId="0" applyNumberFormat="1" applyFont="1" applyFill="1" applyAlignment="1">
      <alignment vertical="top"/>
    </xf>
    <xf numFmtId="167" fontId="34" fillId="19" borderId="0" xfId="6" applyNumberFormat="1" applyFont="1" applyFill="1" applyAlignment="1">
      <alignment horizontal="right" vertical="top"/>
    </xf>
    <xf numFmtId="167" fontId="36" fillId="19" borderId="0" xfId="6" applyNumberFormat="1" applyFont="1" applyFill="1" applyAlignment="1">
      <alignment horizontal="right"/>
    </xf>
    <xf numFmtId="167" fontId="37" fillId="19" borderId="0" xfId="6" applyNumberFormat="1" applyFont="1" applyFill="1" applyAlignment="1">
      <alignment horizontal="right"/>
    </xf>
    <xf numFmtId="172" fontId="16" fillId="19" borderId="4" xfId="0" applyNumberFormat="1" applyFont="1" applyFill="1" applyBorder="1" applyAlignment="1">
      <alignment horizontal="left" vertical="center"/>
    </xf>
    <xf numFmtId="167" fontId="16" fillId="19" borderId="66" xfId="6" applyNumberFormat="1" applyFont="1" applyFill="1" applyBorder="1" applyAlignment="1">
      <alignment horizontal="right"/>
    </xf>
    <xf numFmtId="167" fontId="16" fillId="19" borderId="5" xfId="6" applyNumberFormat="1" applyFont="1" applyFill="1" applyBorder="1" applyAlignment="1">
      <alignment horizontal="right"/>
    </xf>
    <xf numFmtId="172" fontId="16" fillId="19" borderId="4" xfId="0" applyNumberFormat="1" applyFont="1" applyFill="1" applyBorder="1" applyAlignment="1">
      <alignment vertical="center" wrapText="1"/>
    </xf>
    <xf numFmtId="0" fontId="34" fillId="19" borderId="0" xfId="0" applyFont="1" applyFill="1" applyAlignment="1">
      <alignment horizontal="center"/>
    </xf>
    <xf numFmtId="0" fontId="12" fillId="4" borderId="0" xfId="0" applyFont="1" applyFill="1"/>
    <xf numFmtId="0" fontId="16" fillId="19" borderId="2" xfId="0" applyFont="1" applyFill="1" applyBorder="1" applyAlignment="1">
      <alignment horizontal="center" vertical="center"/>
    </xf>
    <xf numFmtId="0" fontId="16" fillId="19" borderId="2" xfId="0" applyFont="1" applyFill="1" applyBorder="1" applyAlignment="1">
      <alignment horizontal="center" vertical="center" wrapText="1"/>
    </xf>
    <xf numFmtId="0" fontId="16" fillId="19" borderId="0" xfId="0" applyFont="1" applyFill="1" applyAlignment="1">
      <alignment horizontal="center" vertical="center" wrapText="1"/>
    </xf>
    <xf numFmtId="168" fontId="7" fillId="4" borderId="2" xfId="1" applyNumberFormat="1" applyFont="1" applyFill="1" applyBorder="1"/>
    <xf numFmtId="10" fontId="0" fillId="14" borderId="0" xfId="2" applyNumberFormat="1" applyFont="1" applyFill="1"/>
    <xf numFmtId="0" fontId="38" fillId="19" borderId="0" xfId="0" applyFont="1" applyFill="1" applyAlignment="1">
      <alignment vertical="center"/>
    </xf>
    <xf numFmtId="0" fontId="39" fillId="19" borderId="0" xfId="0" applyFont="1" applyFill="1"/>
    <xf numFmtId="0" fontId="40" fillId="4" borderId="0" xfId="0" applyFont="1" applyFill="1"/>
    <xf numFmtId="16" fontId="40" fillId="4" borderId="0" xfId="0" applyNumberFormat="1" applyFont="1" applyFill="1"/>
    <xf numFmtId="0" fontId="41" fillId="19" borderId="20" xfId="0" applyFont="1" applyFill="1" applyBorder="1" applyAlignment="1">
      <alignment vertical="center"/>
    </xf>
    <xf numFmtId="0" fontId="40" fillId="4" borderId="20" xfId="0" applyFont="1" applyFill="1" applyBorder="1"/>
    <xf numFmtId="167" fontId="40" fillId="4" borderId="7" xfId="0" applyNumberFormat="1" applyFont="1" applyFill="1" applyBorder="1"/>
    <xf numFmtId="167" fontId="40" fillId="19" borderId="7" xfId="0" applyNumberFormat="1" applyFont="1" applyFill="1" applyBorder="1"/>
    <xf numFmtId="0" fontId="40" fillId="4" borderId="20" xfId="0" applyFont="1" applyFill="1" applyBorder="1" applyAlignment="1">
      <alignment horizontal="right"/>
    </xf>
    <xf numFmtId="167" fontId="39" fillId="4" borderId="19" xfId="0" applyNumberFormat="1" applyFont="1" applyFill="1" applyBorder="1"/>
    <xf numFmtId="0" fontId="41" fillId="19" borderId="22" xfId="0" applyFont="1" applyFill="1" applyBorder="1" applyAlignment="1">
      <alignment horizontal="right" vertical="center"/>
    </xf>
    <xf numFmtId="167" fontId="40" fillId="19" borderId="21" xfId="0" applyNumberFormat="1" applyFont="1" applyFill="1" applyBorder="1"/>
    <xf numFmtId="167" fontId="40" fillId="4" borderId="0" xfId="0" applyNumberFormat="1" applyFont="1" applyFill="1"/>
    <xf numFmtId="164" fontId="0" fillId="0" borderId="0" xfId="0" applyNumberFormat="1"/>
    <xf numFmtId="164" fontId="0" fillId="5" borderId="0" xfId="0" applyNumberFormat="1" applyFill="1"/>
    <xf numFmtId="0" fontId="3" fillId="9" borderId="9" xfId="0" applyFont="1" applyFill="1" applyBorder="1"/>
    <xf numFmtId="0" fontId="3" fillId="9" borderId="10" xfId="0" applyFont="1" applyFill="1" applyBorder="1" applyAlignment="1">
      <alignment horizontal="center"/>
    </xf>
    <xf numFmtId="0" fontId="3" fillId="9" borderId="11" xfId="0" applyFont="1" applyFill="1" applyBorder="1" applyAlignment="1">
      <alignment horizontal="center"/>
    </xf>
    <xf numFmtId="0" fontId="3" fillId="0" borderId="68" xfId="0" applyFont="1" applyBorder="1"/>
    <xf numFmtId="0" fontId="3" fillId="0" borderId="3" xfId="0" applyFont="1" applyBorder="1"/>
    <xf numFmtId="0" fontId="3" fillId="0" borderId="69" xfId="0" applyFont="1" applyBorder="1"/>
    <xf numFmtId="0" fontId="3" fillId="0" borderId="14" xfId="0" applyFont="1" applyBorder="1"/>
    <xf numFmtId="0" fontId="3" fillId="0" borderId="15" xfId="0" applyFont="1" applyBorder="1"/>
    <xf numFmtId="0" fontId="3" fillId="0" borderId="16" xfId="0" applyFont="1" applyBorder="1"/>
    <xf numFmtId="0" fontId="3" fillId="9" borderId="0" xfId="0" applyFont="1" applyFill="1" applyAlignment="1">
      <alignment horizontal="center"/>
    </xf>
    <xf numFmtId="0" fontId="0" fillId="9" borderId="11" xfId="0" applyFill="1" applyBorder="1"/>
    <xf numFmtId="9" fontId="0" fillId="0" borderId="13" xfId="0" applyNumberFormat="1" applyBorder="1"/>
    <xf numFmtId="168" fontId="0" fillId="0" borderId="13" xfId="1" applyNumberFormat="1" applyFont="1" applyBorder="1"/>
    <xf numFmtId="9" fontId="0" fillId="0" borderId="13" xfId="5" applyFont="1" applyBorder="1"/>
    <xf numFmtId="2" fontId="0" fillId="0" borderId="13" xfId="0" applyNumberFormat="1" applyBorder="1"/>
    <xf numFmtId="0" fontId="0" fillId="0" borderId="68" xfId="0" applyBorder="1"/>
    <xf numFmtId="1" fontId="0" fillId="0" borderId="69" xfId="0" applyNumberFormat="1" applyBorder="1"/>
    <xf numFmtId="0" fontId="0" fillId="0" borderId="14" xfId="0" applyBorder="1"/>
    <xf numFmtId="9" fontId="0" fillId="0" borderId="16" xfId="5" applyFont="1" applyBorder="1"/>
    <xf numFmtId="10" fontId="42" fillId="14" borderId="0" xfId="2" applyNumberFormat="1" applyFont="1" applyFill="1"/>
    <xf numFmtId="0" fontId="39" fillId="9" borderId="40" xfId="0" applyFont="1" applyFill="1" applyBorder="1"/>
    <xf numFmtId="0" fontId="39" fillId="9" borderId="71" xfId="0" applyFont="1" applyFill="1" applyBorder="1" applyAlignment="1">
      <alignment horizontal="center"/>
    </xf>
    <xf numFmtId="0" fontId="39" fillId="9" borderId="72" xfId="0" applyFont="1" applyFill="1" applyBorder="1" applyAlignment="1">
      <alignment horizontal="center"/>
    </xf>
    <xf numFmtId="0" fontId="39" fillId="9" borderId="73" xfId="0" applyFont="1" applyFill="1" applyBorder="1" applyAlignment="1">
      <alignment horizontal="center"/>
    </xf>
    <xf numFmtId="0" fontId="39" fillId="0" borderId="74" xfId="0" applyFont="1" applyBorder="1"/>
    <xf numFmtId="9" fontId="39" fillId="0" borderId="75" xfId="0" applyNumberFormat="1" applyFont="1" applyBorder="1"/>
    <xf numFmtId="9" fontId="39" fillId="0" borderId="6" xfId="0" applyNumberFormat="1" applyFont="1" applyBorder="1" applyAlignment="1">
      <alignment horizontal="right"/>
    </xf>
    <xf numFmtId="3" fontId="43" fillId="0" borderId="13" xfId="0" applyNumberFormat="1" applyFont="1" applyBorder="1" applyAlignment="1">
      <alignment horizontal="right"/>
    </xf>
    <xf numFmtId="0" fontId="39" fillId="0" borderId="76" xfId="0" applyFont="1" applyBorder="1"/>
    <xf numFmtId="167" fontId="44" fillId="0" borderId="12" xfId="1" applyNumberFormat="1" applyFont="1" applyBorder="1" applyAlignment="1">
      <alignment horizontal="right"/>
    </xf>
    <xf numFmtId="168" fontId="39" fillId="0" borderId="2" xfId="1" applyNumberFormat="1" applyFont="1" applyBorder="1"/>
    <xf numFmtId="3" fontId="44" fillId="0" borderId="13" xfId="0" applyNumberFormat="1" applyFont="1" applyBorder="1" applyAlignment="1">
      <alignment horizontal="right"/>
    </xf>
    <xf numFmtId="0" fontId="39" fillId="0" borderId="12" xfId="0" applyFont="1" applyBorder="1"/>
    <xf numFmtId="0" fontId="39" fillId="0" borderId="2" xfId="0" applyFont="1" applyBorder="1"/>
    <xf numFmtId="0" fontId="43" fillId="0" borderId="12" xfId="0" applyFont="1" applyBorder="1" applyAlignment="1">
      <alignment horizontal="right"/>
    </xf>
    <xf numFmtId="9" fontId="39" fillId="0" borderId="2" xfId="0" applyNumberFormat="1" applyFont="1" applyBorder="1"/>
    <xf numFmtId="9" fontId="39" fillId="0" borderId="13" xfId="0" applyNumberFormat="1" applyFont="1" applyBorder="1" applyAlignment="1">
      <alignment horizontal="right"/>
    </xf>
    <xf numFmtId="0" fontId="39" fillId="0" borderId="77" xfId="0" applyFont="1" applyBorder="1"/>
    <xf numFmtId="168" fontId="39" fillId="0" borderId="14" xfId="1" applyNumberFormat="1" applyFont="1" applyBorder="1"/>
    <xf numFmtId="168" fontId="39" fillId="0" borderId="15" xfId="1" applyNumberFormat="1" applyFont="1" applyBorder="1"/>
    <xf numFmtId="168" fontId="39" fillId="0" borderId="16" xfId="1" applyNumberFormat="1" applyFont="1" applyBorder="1"/>
    <xf numFmtId="10" fontId="0" fillId="14" borderId="0" xfId="0" applyNumberFormat="1" applyFill="1"/>
    <xf numFmtId="49" fontId="0" fillId="0" borderId="0" xfId="0" applyNumberFormat="1"/>
    <xf numFmtId="14" fontId="0" fillId="0" borderId="0" xfId="0" applyNumberFormat="1"/>
    <xf numFmtId="175" fontId="0" fillId="0" borderId="0" xfId="2" applyNumberFormat="1" applyFont="1"/>
    <xf numFmtId="175" fontId="0" fillId="14" borderId="0" xfId="2" applyNumberFormat="1" applyFont="1" applyFill="1"/>
    <xf numFmtId="175" fontId="0" fillId="0" borderId="0" xfId="0" applyNumberFormat="1"/>
    <xf numFmtId="175" fontId="0" fillId="14" borderId="0" xfId="0" applyNumberFormat="1" applyFill="1"/>
    <xf numFmtId="0" fontId="10" fillId="7" borderId="0" xfId="0" applyFont="1" applyFill="1"/>
    <xf numFmtId="175" fontId="0" fillId="14" borderId="0" xfId="1" applyNumberFormat="1" applyFont="1" applyFill="1"/>
    <xf numFmtId="1" fontId="0" fillId="14" borderId="0" xfId="1" applyNumberFormat="1" applyFont="1" applyFill="1"/>
    <xf numFmtId="0" fontId="0" fillId="0" borderId="78" xfId="0" applyBorder="1"/>
    <xf numFmtId="9" fontId="0" fillId="0" borderId="78" xfId="0" applyNumberFormat="1" applyBorder="1"/>
    <xf numFmtId="180" fontId="12" fillId="0" borderId="78" xfId="10" applyNumberFormat="1" applyBorder="1"/>
    <xf numFmtId="0" fontId="0" fillId="0" borderId="78" xfId="0" applyBorder="1" applyAlignment="1">
      <alignment wrapText="1"/>
    </xf>
    <xf numFmtId="180" fontId="12" fillId="0" borderId="0" xfId="10" applyNumberFormat="1" applyFill="1" applyBorder="1"/>
    <xf numFmtId="166" fontId="0" fillId="14" borderId="0" xfId="0" applyNumberFormat="1" applyFill="1"/>
    <xf numFmtId="9" fontId="0" fillId="14" borderId="0" xfId="2" applyFont="1" applyFill="1"/>
    <xf numFmtId="0" fontId="45" fillId="6" borderId="2" xfId="0" applyFont="1" applyFill="1" applyBorder="1"/>
    <xf numFmtId="0" fontId="45" fillId="0" borderId="2" xfId="0" applyFont="1" applyBorder="1"/>
    <xf numFmtId="3" fontId="45" fillId="0" borderId="2" xfId="0" applyNumberFormat="1" applyFont="1" applyBorder="1"/>
    <xf numFmtId="9" fontId="12" fillId="0" borderId="78" xfId="5" applyBorder="1"/>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center" wrapText="1"/>
    </xf>
    <xf numFmtId="0" fontId="0" fillId="0" borderId="0" xfId="0" applyAlignment="1">
      <alignment horizontal="center" vertical="center" wrapText="1"/>
    </xf>
    <xf numFmtId="0" fontId="0" fillId="8" borderId="0" xfId="0" applyFill="1" applyAlignment="1">
      <alignment horizontal="center" wrapText="1"/>
    </xf>
    <xf numFmtId="166" fontId="0" fillId="8" borderId="0" xfId="0" applyNumberFormat="1" applyFill="1" applyAlignment="1">
      <alignment horizontal="center" wrapText="1"/>
    </xf>
    <xf numFmtId="0" fontId="7" fillId="19" borderId="0" xfId="0" applyFont="1" applyFill="1" applyAlignment="1">
      <alignment horizontal="left" wrapText="1"/>
    </xf>
    <xf numFmtId="0" fontId="7" fillId="19" borderId="65" xfId="0" applyFont="1" applyFill="1" applyBorder="1" applyAlignment="1">
      <alignment horizontal="left" wrapText="1"/>
    </xf>
    <xf numFmtId="0" fontId="16" fillId="19" borderId="70" xfId="0" applyFont="1" applyFill="1" applyBorder="1" applyAlignment="1">
      <alignment horizontal="center" vertical="center"/>
    </xf>
    <xf numFmtId="0" fontId="0" fillId="8" borderId="0" xfId="0" applyFill="1" applyAlignment="1">
      <alignment horizontal="center" vertical="center" wrapText="1"/>
    </xf>
    <xf numFmtId="0" fontId="0" fillId="0" borderId="0" xfId="0" applyAlignment="1">
      <alignment horizontal="left" vertical="top" wrapText="1"/>
    </xf>
    <xf numFmtId="0" fontId="0" fillId="0" borderId="0" xfId="1" applyNumberFormat="1" applyFont="1" applyAlignment="1">
      <alignment horizontal="center" wrapText="1"/>
    </xf>
    <xf numFmtId="0" fontId="24" fillId="5" borderId="0" xfId="0" applyFont="1" applyFill="1" applyAlignment="1">
      <alignment horizontal="left" wrapText="1"/>
    </xf>
    <xf numFmtId="0" fontId="16" fillId="3" borderId="22" xfId="0" applyFont="1" applyFill="1" applyBorder="1" applyAlignment="1">
      <alignment wrapText="1"/>
    </xf>
    <xf numFmtId="0" fontId="16" fillId="3" borderId="21" xfId="0" applyFont="1" applyFill="1" applyBorder="1" applyAlignment="1">
      <alignment wrapText="1"/>
    </xf>
    <xf numFmtId="0" fontId="16" fillId="3" borderId="23" xfId="0" applyFont="1" applyFill="1" applyBorder="1" applyAlignment="1">
      <alignment wrapText="1"/>
    </xf>
    <xf numFmtId="0" fontId="16" fillId="3" borderId="20" xfId="0" applyFont="1" applyFill="1" applyBorder="1" applyAlignment="1">
      <alignment wrapText="1"/>
    </xf>
    <xf numFmtId="0" fontId="16" fillId="3" borderId="0" xfId="0" applyFont="1" applyFill="1" applyAlignment="1">
      <alignment wrapText="1"/>
    </xf>
    <xf numFmtId="0" fontId="16" fillId="3" borderId="24" xfId="0" applyFont="1" applyFill="1" applyBorder="1" applyAlignment="1">
      <alignment wrapText="1"/>
    </xf>
    <xf numFmtId="0" fontId="16" fillId="3" borderId="25" xfId="0" applyFont="1" applyFill="1" applyBorder="1" applyAlignment="1">
      <alignment wrapText="1"/>
    </xf>
    <xf numFmtId="0" fontId="16" fillId="3" borderId="26" xfId="0" applyFont="1" applyFill="1" applyBorder="1" applyAlignment="1">
      <alignment wrapText="1"/>
    </xf>
    <xf numFmtId="0" fontId="16" fillId="3" borderId="27" xfId="0" applyFont="1" applyFill="1" applyBorder="1" applyAlignment="1">
      <alignment wrapText="1"/>
    </xf>
    <xf numFmtId="0" fontId="2" fillId="0" borderId="0" xfId="0" applyFont="1" applyAlignment="1">
      <alignment horizontal="center" vertical="center" wrapText="1"/>
    </xf>
    <xf numFmtId="0" fontId="2" fillId="0" borderId="0" xfId="0" applyFont="1" applyAlignment="1">
      <alignment horizontal="center" wrapText="1"/>
    </xf>
    <xf numFmtId="4" fontId="0" fillId="5" borderId="35" xfId="0" applyNumberFormat="1" applyFill="1" applyBorder="1" applyAlignment="1" applyProtection="1">
      <alignment horizontal="center" wrapText="1"/>
      <protection locked="0"/>
    </xf>
    <xf numFmtId="0" fontId="4" fillId="4" borderId="4" xfId="0" applyFont="1" applyFill="1" applyBorder="1" applyAlignment="1">
      <alignment horizontal="left" vertical="center"/>
    </xf>
    <xf numFmtId="0" fontId="4" fillId="4" borderId="5" xfId="0" applyFont="1" applyFill="1" applyBorder="1" applyAlignment="1">
      <alignment horizontal="left" vertical="center"/>
    </xf>
    <xf numFmtId="0" fontId="0" fillId="14" borderId="0" xfId="0" applyFill="1" applyAlignment="1">
      <alignment horizontal="center" vertical="center" wrapText="1"/>
    </xf>
    <xf numFmtId="0" fontId="0" fillId="0" borderId="22"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28"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19" xfId="0" applyBorder="1" applyAlignment="1" applyProtection="1">
      <alignment horizontal="left" vertical="top" wrapText="1"/>
      <protection locked="0"/>
    </xf>
    <xf numFmtId="0" fontId="0" fillId="0" borderId="44" xfId="0" applyBorder="1" applyAlignment="1" applyProtection="1">
      <alignment horizontal="left" vertical="top" wrapText="1"/>
      <protection locked="0"/>
    </xf>
    <xf numFmtId="0" fontId="0" fillId="0" borderId="18" xfId="0" applyBorder="1" applyAlignment="1" applyProtection="1">
      <alignment horizontal="left" vertical="top" wrapText="1"/>
      <protection locked="0"/>
    </xf>
    <xf numFmtId="0" fontId="0" fillId="0" borderId="17" xfId="0" applyBorder="1" applyAlignment="1" applyProtection="1">
      <alignment horizontal="left" vertical="top" wrapText="1"/>
      <protection locked="0"/>
    </xf>
    <xf numFmtId="0" fontId="0" fillId="5" borderId="22" xfId="0" applyFill="1" applyBorder="1" applyAlignment="1" applyProtection="1">
      <alignment horizontal="left" vertical="top" wrapText="1"/>
      <protection locked="0"/>
    </xf>
    <xf numFmtId="0" fontId="0" fillId="5" borderId="21" xfId="0" applyFill="1" applyBorder="1" applyAlignment="1" applyProtection="1">
      <alignment horizontal="left" vertical="top" wrapText="1"/>
      <protection locked="0"/>
    </xf>
    <xf numFmtId="0" fontId="0" fillId="5" borderId="28" xfId="0" applyFill="1" applyBorder="1" applyAlignment="1" applyProtection="1">
      <alignment horizontal="left" vertical="top" wrapText="1"/>
      <protection locked="0"/>
    </xf>
    <xf numFmtId="0" fontId="0" fillId="5" borderId="20" xfId="0" applyFill="1" applyBorder="1" applyAlignment="1" applyProtection="1">
      <alignment horizontal="left" vertical="top" wrapText="1"/>
      <protection locked="0"/>
    </xf>
    <xf numFmtId="0" fontId="0" fillId="5" borderId="0" xfId="0" applyFill="1" applyAlignment="1" applyProtection="1">
      <alignment horizontal="left" vertical="top" wrapText="1"/>
      <protection locked="0"/>
    </xf>
    <xf numFmtId="0" fontId="0" fillId="5" borderId="19" xfId="0" applyFill="1" applyBorder="1" applyAlignment="1" applyProtection="1">
      <alignment horizontal="left" vertical="top" wrapText="1"/>
      <protection locked="0"/>
    </xf>
    <xf numFmtId="0" fontId="0" fillId="5" borderId="44" xfId="0" applyFill="1" applyBorder="1" applyAlignment="1" applyProtection="1">
      <alignment horizontal="left" vertical="top" wrapText="1"/>
      <protection locked="0"/>
    </xf>
    <xf numFmtId="0" fontId="0" fillId="5" borderId="18" xfId="0" applyFill="1" applyBorder="1" applyAlignment="1" applyProtection="1">
      <alignment horizontal="left" vertical="top" wrapText="1"/>
      <protection locked="0"/>
    </xf>
    <xf numFmtId="0" fontId="0" fillId="5" borderId="17" xfId="0" applyFill="1" applyBorder="1" applyAlignment="1" applyProtection="1">
      <alignment horizontal="left" vertical="top" wrapText="1"/>
      <protection locked="0"/>
    </xf>
    <xf numFmtId="0" fontId="7" fillId="5" borderId="21" xfId="0" applyFont="1" applyFill="1" applyBorder="1" applyAlignment="1" applyProtection="1">
      <alignment horizontal="center" vertical="top" wrapText="1"/>
      <protection locked="0"/>
    </xf>
    <xf numFmtId="0" fontId="7" fillId="5" borderId="0" xfId="0" applyFont="1" applyFill="1" applyAlignment="1" applyProtection="1">
      <alignment horizontal="center" vertical="top" wrapText="1"/>
      <protection locked="0"/>
    </xf>
    <xf numFmtId="0" fontId="7" fillId="4" borderId="65" xfId="0" applyFont="1" applyFill="1" applyBorder="1" applyAlignment="1">
      <alignment horizontal="center"/>
    </xf>
    <xf numFmtId="0" fontId="7" fillId="4" borderId="19" xfId="0" applyFont="1" applyFill="1" applyBorder="1" applyAlignment="1">
      <alignment horizontal="center"/>
    </xf>
    <xf numFmtId="0" fontId="7" fillId="5" borderId="43" xfId="0" applyFont="1" applyFill="1" applyBorder="1" applyAlignment="1" applyProtection="1">
      <alignment horizontal="left" vertical="top" wrapText="1"/>
      <protection locked="0"/>
    </xf>
    <xf numFmtId="4" fontId="12" fillId="5" borderId="59" xfId="3" applyNumberFormat="1" applyFill="1" applyBorder="1" applyAlignment="1" applyProtection="1">
      <alignment horizontal="left" vertical="top" wrapText="1"/>
      <protection locked="0"/>
    </xf>
    <xf numFmtId="4" fontId="12" fillId="5" borderId="0" xfId="3" applyNumberFormat="1" applyFill="1" applyAlignment="1" applyProtection="1">
      <alignment horizontal="left" vertical="top" wrapText="1"/>
      <protection locked="0"/>
    </xf>
    <xf numFmtId="0" fontId="0" fillId="0" borderId="0" xfId="0" quotePrefix="1" applyAlignment="1">
      <alignment horizontal="center" vertical="center"/>
    </xf>
    <xf numFmtId="0" fontId="0" fillId="0" borderId="0" xfId="0" applyAlignment="1">
      <alignment horizontal="center" vertical="center"/>
    </xf>
    <xf numFmtId="166" fontId="12" fillId="14" borderId="4" xfId="1" applyFont="1" applyFill="1" applyBorder="1" applyAlignment="1">
      <alignment horizontal="center"/>
    </xf>
    <xf numFmtId="166" fontId="12" fillId="14" borderId="66" xfId="1" applyFont="1" applyFill="1" applyBorder="1" applyAlignment="1">
      <alignment horizontal="center"/>
    </xf>
    <xf numFmtId="166" fontId="12" fillId="14" borderId="5" xfId="1" applyFont="1" applyFill="1" applyBorder="1" applyAlignment="1">
      <alignment horizontal="center"/>
    </xf>
    <xf numFmtId="0" fontId="0" fillId="0" borderId="40" xfId="1" applyNumberFormat="1" applyFont="1" applyFill="1" applyBorder="1" applyAlignment="1" applyProtection="1">
      <alignment horizontal="left" vertical="top" wrapText="1"/>
      <protection locked="0"/>
    </xf>
    <xf numFmtId="0" fontId="12" fillId="0" borderId="41" xfId="1" applyNumberFormat="1" applyFont="1" applyFill="1" applyBorder="1" applyAlignment="1" applyProtection="1">
      <alignment horizontal="left" vertical="top" wrapText="1"/>
      <protection locked="0"/>
    </xf>
    <xf numFmtId="0" fontId="12" fillId="0" borderId="42" xfId="1" applyNumberFormat="1" applyFont="1" applyFill="1" applyBorder="1" applyAlignment="1" applyProtection="1">
      <alignment horizontal="left" vertical="top" wrapText="1"/>
      <protection locked="0"/>
    </xf>
    <xf numFmtId="49" fontId="0" fillId="0" borderId="0" xfId="0" applyNumberFormat="1" applyAlignment="1">
      <alignment horizontal="center" vertical="center"/>
    </xf>
    <xf numFmtId="0" fontId="7" fillId="5" borderId="22" xfId="0" applyFont="1" applyFill="1" applyBorder="1" applyAlignment="1" applyProtection="1">
      <alignment horizontal="left" vertical="top" wrapText="1"/>
      <protection locked="0"/>
    </xf>
    <xf numFmtId="0" fontId="7" fillId="5" borderId="21" xfId="0" applyFont="1" applyFill="1" applyBorder="1" applyAlignment="1" applyProtection="1">
      <alignment horizontal="left" vertical="top" wrapText="1"/>
      <protection locked="0"/>
    </xf>
    <xf numFmtId="0" fontId="7" fillId="5" borderId="28" xfId="0" applyFont="1" applyFill="1" applyBorder="1" applyAlignment="1" applyProtection="1">
      <alignment horizontal="left" vertical="top" wrapText="1"/>
      <protection locked="0"/>
    </xf>
    <xf numFmtId="0" fontId="7" fillId="5" borderId="20" xfId="0" applyFont="1" applyFill="1" applyBorder="1" applyAlignment="1" applyProtection="1">
      <alignment horizontal="left" vertical="top" wrapText="1"/>
      <protection locked="0"/>
    </xf>
    <xf numFmtId="0" fontId="7" fillId="5" borderId="0" xfId="0" applyFont="1" applyFill="1" applyAlignment="1" applyProtection="1">
      <alignment horizontal="left" vertical="top" wrapText="1"/>
      <protection locked="0"/>
    </xf>
    <xf numFmtId="0" fontId="7" fillId="5" borderId="19" xfId="0" applyFont="1" applyFill="1" applyBorder="1" applyAlignment="1" applyProtection="1">
      <alignment horizontal="left" vertical="top" wrapText="1"/>
      <protection locked="0"/>
    </xf>
    <xf numFmtId="0" fontId="7" fillId="5" borderId="44" xfId="0" applyFont="1" applyFill="1" applyBorder="1" applyAlignment="1" applyProtection="1">
      <alignment horizontal="left" vertical="top" wrapText="1"/>
      <protection locked="0"/>
    </xf>
    <xf numFmtId="0" fontId="7" fillId="5" borderId="18" xfId="0" applyFont="1" applyFill="1" applyBorder="1" applyAlignment="1" applyProtection="1">
      <alignment horizontal="left" vertical="top" wrapText="1"/>
      <protection locked="0"/>
    </xf>
    <xf numFmtId="0" fontId="7" fillId="5" borderId="17" xfId="0" applyFont="1" applyFill="1" applyBorder="1" applyAlignment="1" applyProtection="1">
      <alignment horizontal="left" vertical="top" wrapText="1"/>
      <protection locked="0"/>
    </xf>
    <xf numFmtId="4" fontId="0" fillId="5" borderId="59" xfId="0" applyNumberFormat="1" applyFill="1" applyBorder="1" applyAlignment="1" applyProtection="1">
      <alignment horizontal="left" vertical="top" wrapText="1"/>
      <protection locked="0"/>
    </xf>
    <xf numFmtId="4" fontId="0" fillId="5" borderId="0" xfId="0" applyNumberFormat="1" applyFill="1" applyAlignment="1" applyProtection="1">
      <alignment horizontal="left" vertical="top" wrapText="1"/>
      <protection locked="0"/>
    </xf>
    <xf numFmtId="0" fontId="0" fillId="0" borderId="0" xfId="0" applyAlignment="1">
      <alignment horizontal="left"/>
    </xf>
  </cellXfs>
  <cellStyles count="11">
    <cellStyle name="Comma 2" xfId="4" xr:uid="{00000000-0005-0000-0000-000001000000}"/>
    <cellStyle name="Comma 3" xfId="8" xr:uid="{00000000-0005-0000-0000-000002000000}"/>
    <cellStyle name="Comma 4" xfId="10" xr:uid="{4966BAB2-BD80-4DEB-A785-97AF77D8D73B}"/>
    <cellStyle name="Currency 2" xfId="9" xr:uid="{00000000-0005-0000-0000-000004000000}"/>
    <cellStyle name="Komma" xfId="1" builtinId="3"/>
    <cellStyle name="Normal 2" xfId="3" xr:uid="{00000000-0005-0000-0000-000006000000}"/>
    <cellStyle name="Normal 3" xfId="7" xr:uid="{00000000-0005-0000-0000-000007000000}"/>
    <cellStyle name="Percent 2" xfId="5" xr:uid="{00000000-0005-0000-0000-000009000000}"/>
    <cellStyle name="Procent" xfId="2" builtinId="5"/>
    <cellStyle name="Standaard" xfId="0" builtinId="0"/>
    <cellStyle name="Valuta" xfId="6"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gurufocus.com/stock/HLT/summary" TargetMode="External"/><Relationship Id="rId3" Type="http://schemas.openxmlformats.org/officeDocument/2006/relationships/hyperlink" Target="https://www.gurufocus.com/stock/WH/summary" TargetMode="External"/><Relationship Id="rId7" Type="http://schemas.openxmlformats.org/officeDocument/2006/relationships/hyperlink" Target="https://www.gurufocus.com/stock/MAR/summary" TargetMode="External"/><Relationship Id="rId2" Type="http://schemas.openxmlformats.org/officeDocument/2006/relationships/hyperlink" Target="https://www.gurufocus.com/stock/STAY/summary" TargetMode="External"/><Relationship Id="rId1" Type="http://schemas.openxmlformats.org/officeDocument/2006/relationships/hyperlink" Target="https://www.gurufocus.com/stock/GHG/summary" TargetMode="External"/><Relationship Id="rId6" Type="http://schemas.openxmlformats.org/officeDocument/2006/relationships/hyperlink" Target="https://www.gurufocus.com/stock/HTHT/summary" TargetMode="External"/><Relationship Id="rId5" Type="http://schemas.openxmlformats.org/officeDocument/2006/relationships/hyperlink" Target="https://www.gurufocus.com/stock/H/summary" TargetMode="External"/><Relationship Id="rId4" Type="http://schemas.openxmlformats.org/officeDocument/2006/relationships/hyperlink" Target="https://www.gurufocus.com/stock/CHH/summary" TargetMode="External"/><Relationship Id="rId9"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4:C5"/>
  <sheetViews>
    <sheetView workbookViewId="0">
      <selection activeCell="D12" sqref="D12"/>
    </sheetView>
  </sheetViews>
  <sheetFormatPr defaultRowHeight="14.25" x14ac:dyDescent="0.45"/>
  <sheetData>
    <row r="4" spans="3:3" x14ac:dyDescent="0.45">
      <c r="C4" s="17" t="s">
        <v>0</v>
      </c>
    </row>
    <row r="5" spans="3:3" x14ac:dyDescent="0.45">
      <c r="C5" s="17"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9"/>
  <sheetViews>
    <sheetView tabSelected="1" topLeftCell="A63" workbookViewId="0">
      <selection activeCell="F81" sqref="F81"/>
    </sheetView>
  </sheetViews>
  <sheetFormatPr defaultRowHeight="14.25" x14ac:dyDescent="0.45"/>
  <cols>
    <col min="1" max="1" width="21.3984375" customWidth="1"/>
    <col min="2" max="2" width="12.33203125" bestFit="1" customWidth="1"/>
    <col min="6" max="6" width="13.3984375" bestFit="1" customWidth="1"/>
    <col min="8" max="8" width="18.265625" bestFit="1" customWidth="1"/>
    <col min="9" max="10" width="13.3984375" bestFit="1" customWidth="1"/>
  </cols>
  <sheetData>
    <row r="1" spans="1:9" s="33" customFormat="1" x14ac:dyDescent="0.45">
      <c r="A1" s="34">
        <v>1</v>
      </c>
    </row>
    <row r="2" spans="1:9" ht="14.55" customHeight="1" x14ac:dyDescent="0.45">
      <c r="A2" s="464" t="s">
        <v>721</v>
      </c>
      <c r="B2" s="464"/>
      <c r="C2" s="464"/>
      <c r="D2" s="464"/>
      <c r="E2" s="464"/>
      <c r="F2" s="464"/>
      <c r="G2" s="464"/>
      <c r="H2" s="464"/>
      <c r="I2" s="464"/>
    </row>
    <row r="3" spans="1:9" x14ac:dyDescent="0.45">
      <c r="A3" s="464"/>
      <c r="B3" s="464"/>
      <c r="C3" s="464"/>
      <c r="D3" s="464"/>
      <c r="E3" s="464"/>
      <c r="F3" s="464"/>
      <c r="G3" s="464"/>
      <c r="H3" s="464"/>
      <c r="I3" s="464"/>
    </row>
    <row r="4" spans="1:9" ht="14.55" customHeight="1" x14ac:dyDescent="0.45">
      <c r="A4" s="464"/>
      <c r="B4" s="464"/>
      <c r="C4" s="464"/>
      <c r="D4" s="464"/>
      <c r="E4" s="464"/>
      <c r="F4" s="464"/>
      <c r="G4" s="464"/>
      <c r="H4" s="464"/>
      <c r="I4" s="464"/>
    </row>
    <row r="5" spans="1:9" ht="14.55" customHeight="1" x14ac:dyDescent="0.45">
      <c r="A5" s="464"/>
      <c r="B5" s="464"/>
      <c r="C5" s="464"/>
      <c r="D5" s="464"/>
      <c r="E5" s="464"/>
      <c r="F5" s="464"/>
      <c r="G5" s="464"/>
      <c r="H5" s="464"/>
      <c r="I5" s="464"/>
    </row>
    <row r="6" spans="1:9" ht="14.55" customHeight="1" x14ac:dyDescent="0.45">
      <c r="A6" s="464"/>
      <c r="B6" s="464"/>
      <c r="C6" s="464"/>
      <c r="D6" s="464"/>
      <c r="E6" s="464"/>
      <c r="F6" s="464"/>
      <c r="G6" s="464"/>
      <c r="H6" s="464"/>
      <c r="I6" s="464"/>
    </row>
    <row r="7" spans="1:9" x14ac:dyDescent="0.45">
      <c r="A7" s="464"/>
      <c r="B7" s="464"/>
      <c r="C7" s="464"/>
      <c r="D7" s="464"/>
      <c r="E7" s="464"/>
      <c r="F7" s="464"/>
      <c r="G7" s="464"/>
      <c r="H7" s="464"/>
      <c r="I7" s="464"/>
    </row>
    <row r="8" spans="1:9" ht="14.55" customHeight="1" x14ac:dyDescent="0.45">
      <c r="A8" s="464"/>
      <c r="B8" s="464"/>
      <c r="C8" s="464"/>
      <c r="D8" s="464"/>
      <c r="E8" s="464"/>
      <c r="F8" s="464"/>
      <c r="G8" s="464"/>
      <c r="H8" s="464"/>
      <c r="I8" s="464"/>
    </row>
    <row r="9" spans="1:9" ht="14.55" customHeight="1" x14ac:dyDescent="0.45">
      <c r="A9" s="464"/>
      <c r="B9" s="464"/>
      <c r="C9" s="464"/>
      <c r="D9" s="464"/>
      <c r="E9" s="464"/>
      <c r="F9" s="464"/>
      <c r="G9" s="464"/>
      <c r="H9" s="464"/>
      <c r="I9" s="464"/>
    </row>
    <row r="11" spans="1:9" ht="14.55" customHeight="1" x14ac:dyDescent="0.45">
      <c r="A11" s="464" t="s">
        <v>722</v>
      </c>
      <c r="B11" s="464"/>
      <c r="C11" s="464"/>
      <c r="D11" s="464"/>
      <c r="E11" s="464"/>
      <c r="F11" s="464"/>
      <c r="G11" s="464"/>
    </row>
    <row r="12" spans="1:9" ht="14.55" customHeight="1" x14ac:dyDescent="0.45">
      <c r="A12" s="464"/>
      <c r="B12" s="464"/>
      <c r="C12" s="464"/>
      <c r="D12" s="464"/>
      <c r="E12" s="464"/>
      <c r="F12" s="464"/>
      <c r="G12" s="464"/>
    </row>
    <row r="13" spans="1:9" ht="14.55" customHeight="1" x14ac:dyDescent="0.45">
      <c r="A13" s="464"/>
      <c r="B13" s="464"/>
      <c r="C13" s="464"/>
      <c r="D13" s="464"/>
      <c r="E13" s="464"/>
      <c r="F13" s="464"/>
      <c r="G13" s="464"/>
    </row>
    <row r="14" spans="1:9" ht="14.55" customHeight="1" x14ac:dyDescent="0.45">
      <c r="A14" s="464"/>
      <c r="B14" s="464"/>
      <c r="C14" s="464"/>
      <c r="D14" s="464"/>
      <c r="E14" s="464"/>
      <c r="F14" s="464"/>
      <c r="G14" s="464"/>
    </row>
    <row r="16" spans="1:9" s="33" customFormat="1" x14ac:dyDescent="0.45">
      <c r="A16" s="329">
        <v>2</v>
      </c>
    </row>
    <row r="18" spans="1:10" x14ac:dyDescent="0.45">
      <c r="A18" t="s">
        <v>723</v>
      </c>
    </row>
    <row r="20" spans="1:10" x14ac:dyDescent="0.45">
      <c r="A20" s="465" t="s">
        <v>1160</v>
      </c>
      <c r="B20" s="465"/>
      <c r="C20" s="465"/>
      <c r="D20" s="465"/>
      <c r="E20" s="465"/>
      <c r="F20" s="465"/>
      <c r="G20" s="465"/>
      <c r="H20" s="465"/>
      <c r="I20" s="465"/>
      <c r="J20" s="465"/>
    </row>
    <row r="21" spans="1:10" x14ac:dyDescent="0.45">
      <c r="A21" s="465"/>
      <c r="B21" s="465"/>
      <c r="C21" s="465"/>
      <c r="D21" s="465"/>
      <c r="E21" s="465"/>
      <c r="F21" s="465"/>
      <c r="G21" s="465"/>
      <c r="H21" s="465"/>
      <c r="I21" s="465"/>
      <c r="J21" s="465"/>
    </row>
    <row r="22" spans="1:10" x14ac:dyDescent="0.45">
      <c r="A22" s="465"/>
      <c r="B22" s="465"/>
      <c r="C22" s="465"/>
      <c r="D22" s="465"/>
      <c r="E22" s="465"/>
      <c r="F22" s="465"/>
      <c r="G22" s="465"/>
      <c r="H22" s="465"/>
      <c r="I22" s="465"/>
      <c r="J22" s="465"/>
    </row>
    <row r="23" spans="1:10" x14ac:dyDescent="0.45">
      <c r="A23" s="465"/>
      <c r="B23" s="465"/>
      <c r="C23" s="465"/>
      <c r="D23" s="465"/>
      <c r="E23" s="465"/>
      <c r="F23" s="465"/>
      <c r="G23" s="465"/>
      <c r="H23" s="465"/>
      <c r="I23" s="465"/>
      <c r="J23" s="465"/>
    </row>
    <row r="24" spans="1:10" x14ac:dyDescent="0.45">
      <c r="A24" s="465"/>
      <c r="B24" s="465"/>
      <c r="C24" s="465"/>
      <c r="D24" s="465"/>
      <c r="E24" s="465"/>
      <c r="F24" s="465"/>
      <c r="G24" s="465"/>
      <c r="H24" s="465"/>
      <c r="I24" s="465"/>
      <c r="J24" s="465"/>
    </row>
    <row r="25" spans="1:10" x14ac:dyDescent="0.45">
      <c r="A25" s="465"/>
      <c r="B25" s="465"/>
      <c r="C25" s="465"/>
      <c r="D25" s="465"/>
      <c r="E25" s="465"/>
      <c r="F25" s="465"/>
      <c r="G25" s="465"/>
      <c r="H25" s="465"/>
      <c r="I25" s="465"/>
      <c r="J25" s="465"/>
    </row>
    <row r="26" spans="1:10" x14ac:dyDescent="0.45">
      <c r="A26" s="465"/>
      <c r="B26" s="465"/>
      <c r="C26" s="465"/>
      <c r="D26" s="465"/>
      <c r="E26" s="465"/>
      <c r="F26" s="465"/>
      <c r="G26" s="465"/>
      <c r="H26" s="465"/>
      <c r="I26" s="465"/>
      <c r="J26" s="465"/>
    </row>
    <row r="28" spans="1:10" s="33" customFormat="1" x14ac:dyDescent="0.45">
      <c r="A28" s="329">
        <v>3</v>
      </c>
    </row>
    <row r="30" spans="1:10" x14ac:dyDescent="0.45">
      <c r="A30" t="s">
        <v>723</v>
      </c>
    </row>
    <row r="32" spans="1:10" ht="14.25" customHeight="1" x14ac:dyDescent="0.45">
      <c r="A32" s="465" t="s">
        <v>841</v>
      </c>
      <c r="B32" s="465"/>
      <c r="C32" s="465"/>
      <c r="D32" s="465"/>
      <c r="E32" s="465"/>
      <c r="F32" s="465"/>
      <c r="G32" s="465"/>
      <c r="H32" s="465"/>
      <c r="I32" s="465"/>
      <c r="J32" s="465"/>
    </row>
    <row r="33" spans="1:10" x14ac:dyDescent="0.45">
      <c r="A33" s="465"/>
      <c r="B33" s="465"/>
      <c r="C33" s="465"/>
      <c r="D33" s="465"/>
      <c r="E33" s="465"/>
      <c r="F33" s="465"/>
      <c r="G33" s="465"/>
      <c r="H33" s="465"/>
      <c r="I33" s="465"/>
      <c r="J33" s="465"/>
    </row>
    <row r="34" spans="1:10" x14ac:dyDescent="0.45">
      <c r="A34" s="465"/>
      <c r="B34" s="465"/>
      <c r="C34" s="465"/>
      <c r="D34" s="465"/>
      <c r="E34" s="465"/>
      <c r="F34" s="465"/>
      <c r="G34" s="465"/>
      <c r="H34" s="465"/>
      <c r="I34" s="465"/>
      <c r="J34" s="465"/>
    </row>
    <row r="35" spans="1:10" x14ac:dyDescent="0.45">
      <c r="A35" s="465"/>
      <c r="B35" s="465"/>
      <c r="C35" s="465"/>
      <c r="D35" s="465"/>
      <c r="E35" s="465"/>
      <c r="F35" s="465"/>
      <c r="G35" s="465"/>
      <c r="H35" s="465"/>
      <c r="I35" s="465"/>
      <c r="J35" s="465"/>
    </row>
    <row r="36" spans="1:10" x14ac:dyDescent="0.45">
      <c r="A36" s="465"/>
      <c r="B36" s="465"/>
      <c r="C36" s="465"/>
      <c r="D36" s="465"/>
      <c r="E36" s="465"/>
      <c r="F36" s="465"/>
      <c r="G36" s="465"/>
      <c r="H36" s="465"/>
      <c r="I36" s="465"/>
      <c r="J36" s="465"/>
    </row>
    <row r="37" spans="1:10" x14ac:dyDescent="0.45">
      <c r="A37" s="465"/>
      <c r="B37" s="465"/>
      <c r="C37" s="465"/>
      <c r="D37" s="465"/>
      <c r="E37" s="465"/>
      <c r="F37" s="465"/>
      <c r="G37" s="465"/>
      <c r="H37" s="465"/>
      <c r="I37" s="465"/>
      <c r="J37" s="465"/>
    </row>
    <row r="38" spans="1:10" x14ac:dyDescent="0.45">
      <c r="A38" s="465"/>
      <c r="B38" s="465"/>
      <c r="C38" s="465"/>
      <c r="D38" s="465"/>
      <c r="E38" s="465"/>
      <c r="F38" s="465"/>
      <c r="G38" s="465"/>
      <c r="H38" s="465"/>
      <c r="I38" s="465"/>
      <c r="J38" s="465"/>
    </row>
    <row r="39" spans="1:10" x14ac:dyDescent="0.45">
      <c r="A39" s="465"/>
      <c r="B39" s="465"/>
      <c r="C39" s="465"/>
      <c r="D39" s="465"/>
      <c r="E39" s="465"/>
      <c r="F39" s="465"/>
      <c r="G39" s="465"/>
      <c r="H39" s="465"/>
      <c r="I39" s="465"/>
      <c r="J39" s="465"/>
    </row>
    <row r="41" spans="1:10" s="33" customFormat="1" x14ac:dyDescent="0.45">
      <c r="A41" s="329">
        <v>4</v>
      </c>
    </row>
    <row r="43" spans="1:10" x14ac:dyDescent="0.45">
      <c r="A43" s="462" t="s">
        <v>985</v>
      </c>
      <c r="B43" s="462"/>
      <c r="C43" s="462"/>
      <c r="D43" s="462"/>
      <c r="E43" s="462"/>
      <c r="F43" s="462"/>
      <c r="G43" s="462"/>
      <c r="H43" s="462"/>
      <c r="I43" s="462"/>
      <c r="J43" s="462"/>
    </row>
    <row r="44" spans="1:10" x14ac:dyDescent="0.45">
      <c r="A44" s="462"/>
      <c r="B44" s="462"/>
      <c r="C44" s="462"/>
      <c r="D44" s="462"/>
      <c r="E44" s="462"/>
      <c r="F44" s="462"/>
      <c r="G44" s="462"/>
      <c r="H44" s="462"/>
      <c r="I44" s="462"/>
      <c r="J44" s="462"/>
    </row>
    <row r="45" spans="1:10" x14ac:dyDescent="0.45">
      <c r="A45" s="462"/>
      <c r="B45" s="462"/>
      <c r="C45" s="462"/>
      <c r="D45" s="462"/>
      <c r="E45" s="462"/>
      <c r="F45" s="462"/>
      <c r="G45" s="462"/>
      <c r="H45" s="462"/>
      <c r="I45" s="462"/>
      <c r="J45" s="462"/>
    </row>
    <row r="46" spans="1:10" x14ac:dyDescent="0.45">
      <c r="A46" s="462"/>
      <c r="B46" s="462"/>
      <c r="C46" s="462"/>
      <c r="D46" s="462"/>
      <c r="E46" s="462"/>
      <c r="F46" s="462"/>
      <c r="G46" s="462"/>
      <c r="H46" s="462"/>
      <c r="I46" s="462"/>
      <c r="J46" s="462"/>
    </row>
    <row r="47" spans="1:10" x14ac:dyDescent="0.45">
      <c r="A47" s="462"/>
      <c r="B47" s="462"/>
      <c r="C47" s="462"/>
      <c r="D47" s="462"/>
      <c r="E47" s="462"/>
      <c r="F47" s="462"/>
      <c r="G47" s="462"/>
      <c r="H47" s="462"/>
      <c r="I47" s="462"/>
      <c r="J47" s="462"/>
    </row>
    <row r="48" spans="1:10" x14ac:dyDescent="0.45">
      <c r="A48" s="462"/>
      <c r="B48" s="462"/>
      <c r="C48" s="462"/>
      <c r="D48" s="462"/>
      <c r="E48" s="462"/>
      <c r="F48" s="462"/>
      <c r="G48" s="462"/>
      <c r="H48" s="462"/>
      <c r="I48" s="462"/>
      <c r="J48" s="462"/>
    </row>
    <row r="49" spans="1:10" x14ac:dyDescent="0.45">
      <c r="A49" s="462"/>
      <c r="B49" s="462"/>
      <c r="C49" s="462"/>
      <c r="D49" s="462"/>
      <c r="E49" s="462"/>
      <c r="F49" s="462"/>
      <c r="G49" s="462"/>
      <c r="H49" s="462"/>
      <c r="I49" s="462"/>
      <c r="J49" s="462"/>
    </row>
    <row r="50" spans="1:10" x14ac:dyDescent="0.45">
      <c r="A50" s="462"/>
      <c r="B50" s="462"/>
      <c r="C50" s="462"/>
      <c r="D50" s="462"/>
      <c r="E50" s="462"/>
      <c r="F50" s="462"/>
      <c r="G50" s="462"/>
      <c r="H50" s="462"/>
      <c r="I50" s="462"/>
      <c r="J50" s="462"/>
    </row>
    <row r="51" spans="1:10" x14ac:dyDescent="0.45">
      <c r="A51" s="462"/>
      <c r="B51" s="462"/>
      <c r="C51" s="462"/>
      <c r="D51" s="462"/>
      <c r="E51" s="462"/>
      <c r="F51" s="462"/>
      <c r="G51" s="462"/>
      <c r="H51" s="462"/>
      <c r="I51" s="462"/>
      <c r="J51" s="462"/>
    </row>
    <row r="52" spans="1:10" x14ac:dyDescent="0.45">
      <c r="A52" s="462"/>
      <c r="B52" s="462"/>
      <c r="C52" s="462"/>
      <c r="D52" s="462"/>
      <c r="E52" s="462"/>
      <c r="F52" s="462"/>
      <c r="G52" s="462"/>
      <c r="H52" s="462"/>
      <c r="I52" s="462"/>
      <c r="J52" s="462"/>
    </row>
    <row r="53" spans="1:10" x14ac:dyDescent="0.45">
      <c r="A53" s="462"/>
      <c r="B53" s="462"/>
      <c r="C53" s="462"/>
      <c r="D53" s="462"/>
      <c r="E53" s="462"/>
      <c r="F53" s="462"/>
      <c r="G53" s="462"/>
      <c r="H53" s="462"/>
      <c r="I53" s="462"/>
      <c r="J53" s="462"/>
    </row>
    <row r="55" spans="1:10" ht="14.25" customHeight="1" x14ac:dyDescent="0.45">
      <c r="A55" s="463" t="s">
        <v>986</v>
      </c>
      <c r="B55" s="463"/>
      <c r="C55" s="463"/>
      <c r="D55" s="463"/>
      <c r="E55" s="463"/>
      <c r="F55" s="463"/>
      <c r="G55" s="463"/>
      <c r="H55" s="463"/>
      <c r="I55" s="463"/>
      <c r="J55" s="463"/>
    </row>
    <row r="56" spans="1:10" x14ac:dyDescent="0.45">
      <c r="A56" s="463"/>
      <c r="B56" s="463"/>
      <c r="C56" s="463"/>
      <c r="D56" s="463"/>
      <c r="E56" s="463"/>
      <c r="F56" s="463"/>
      <c r="G56" s="463"/>
      <c r="H56" s="463"/>
      <c r="I56" s="463"/>
      <c r="J56" s="463"/>
    </row>
    <row r="57" spans="1:10" x14ac:dyDescent="0.45">
      <c r="A57" s="463"/>
      <c r="B57" s="463"/>
      <c r="C57" s="463"/>
      <c r="D57" s="463"/>
      <c r="E57" s="463"/>
      <c r="F57" s="463"/>
      <c r="G57" s="463"/>
      <c r="H57" s="463"/>
      <c r="I57" s="463"/>
      <c r="J57" s="463"/>
    </row>
    <row r="58" spans="1:10" x14ac:dyDescent="0.45">
      <c r="A58" s="463"/>
      <c r="B58" s="463"/>
      <c r="C58" s="463"/>
      <c r="D58" s="463"/>
      <c r="E58" s="463"/>
      <c r="F58" s="463"/>
      <c r="G58" s="463"/>
      <c r="H58" s="463"/>
      <c r="I58" s="463"/>
      <c r="J58" s="463"/>
    </row>
    <row r="59" spans="1:10" x14ac:dyDescent="0.45">
      <c r="A59" s="463"/>
      <c r="B59" s="463"/>
      <c r="C59" s="463"/>
      <c r="D59" s="463"/>
      <c r="E59" s="463"/>
      <c r="F59" s="463"/>
      <c r="G59" s="463"/>
      <c r="H59" s="463"/>
      <c r="I59" s="463"/>
      <c r="J59" s="463"/>
    </row>
    <row r="60" spans="1:10" x14ac:dyDescent="0.45">
      <c r="A60" s="463"/>
      <c r="B60" s="463"/>
      <c r="C60" s="463"/>
      <c r="D60" s="463"/>
      <c r="E60" s="463"/>
      <c r="F60" s="463"/>
      <c r="G60" s="463"/>
      <c r="H60" s="463"/>
      <c r="I60" s="463"/>
      <c r="J60" s="463"/>
    </row>
    <row r="61" spans="1:10" x14ac:dyDescent="0.45">
      <c r="A61" s="463"/>
      <c r="B61" s="463"/>
      <c r="C61" s="463"/>
      <c r="D61" s="463"/>
      <c r="E61" s="463"/>
      <c r="F61" s="463"/>
      <c r="G61" s="463"/>
      <c r="H61" s="463"/>
      <c r="I61" s="463"/>
      <c r="J61" s="463"/>
    </row>
    <row r="62" spans="1:10" x14ac:dyDescent="0.45">
      <c r="A62" s="463"/>
      <c r="B62" s="463"/>
      <c r="C62" s="463"/>
      <c r="D62" s="463"/>
      <c r="E62" s="463"/>
      <c r="F62" s="463"/>
      <c r="G62" s="463"/>
      <c r="H62" s="463"/>
      <c r="I62" s="463"/>
      <c r="J62" s="463"/>
    </row>
    <row r="64" spans="1:10" s="448" customFormat="1" x14ac:dyDescent="0.45">
      <c r="A64" s="34">
        <v>5</v>
      </c>
    </row>
    <row r="65" spans="1:11" x14ac:dyDescent="0.45">
      <c r="A65" t="s">
        <v>1014</v>
      </c>
      <c r="B65" s="5">
        <f>F65/F66</f>
        <v>0.14721132818230961</v>
      </c>
      <c r="D65" s="36" t="s">
        <v>2</v>
      </c>
      <c r="E65" s="1"/>
      <c r="F65" s="1">
        <v>4186182</v>
      </c>
      <c r="H65" s="17"/>
      <c r="I65" s="17">
        <v>2020</v>
      </c>
      <c r="J65" s="38">
        <v>2021</v>
      </c>
    </row>
    <row r="66" spans="1:11" x14ac:dyDescent="0.45">
      <c r="A66" t="s">
        <v>1015</v>
      </c>
      <c r="B66" s="1">
        <f>F66/J66</f>
        <v>1.5471436364824411</v>
      </c>
      <c r="D66" t="s">
        <v>3</v>
      </c>
      <c r="F66" s="1">
        <v>28436548</v>
      </c>
      <c r="H66" s="36" t="s">
        <v>4</v>
      </c>
      <c r="I66" s="1">
        <v>20408481</v>
      </c>
      <c r="J66" s="39">
        <v>18380031</v>
      </c>
    </row>
    <row r="67" spans="1:11" x14ac:dyDescent="0.45">
      <c r="A67" t="s">
        <v>1016</v>
      </c>
      <c r="B67" s="37">
        <f>J66/J68</f>
        <v>1.2951478403833745</v>
      </c>
      <c r="H67" s="1" t="s">
        <v>5</v>
      </c>
      <c r="I67" s="1">
        <v>20408481</v>
      </c>
      <c r="J67" s="39">
        <v>18380031</v>
      </c>
    </row>
    <row r="68" spans="1:11" x14ac:dyDescent="0.45">
      <c r="B68" s="1"/>
      <c r="H68" s="36" t="s">
        <v>6</v>
      </c>
      <c r="I68" s="1">
        <v>16138872</v>
      </c>
      <c r="J68" s="39">
        <v>14191454</v>
      </c>
    </row>
    <row r="69" spans="1:11" ht="14.55" customHeight="1" x14ac:dyDescent="0.45">
      <c r="A69" t="s">
        <v>1017</v>
      </c>
      <c r="B69" s="384">
        <f>F65/J68</f>
        <v>0.29497907684441638</v>
      </c>
      <c r="D69" s="466" t="s">
        <v>1018</v>
      </c>
      <c r="E69" s="466"/>
      <c r="F69" s="466"/>
      <c r="G69" s="466"/>
      <c r="I69" s="467" t="s">
        <v>1019</v>
      </c>
      <c r="J69" s="467"/>
      <c r="K69" s="467"/>
    </row>
    <row r="70" spans="1:11" x14ac:dyDescent="0.45">
      <c r="A70" t="s">
        <v>1020</v>
      </c>
      <c r="B70" s="384">
        <f>B65*B66*B67</f>
        <v>0.29497907684441638</v>
      </c>
      <c r="D70" s="466"/>
      <c r="E70" s="466"/>
      <c r="F70" s="466"/>
      <c r="G70" s="466"/>
      <c r="I70" s="467"/>
      <c r="J70" s="467"/>
      <c r="K70" s="467"/>
    </row>
    <row r="72" spans="1:11" x14ac:dyDescent="0.45">
      <c r="A72" t="s">
        <v>1021</v>
      </c>
    </row>
    <row r="74" spans="1:11" s="33" customFormat="1" x14ac:dyDescent="0.45">
      <c r="A74" s="330">
        <v>6</v>
      </c>
    </row>
    <row r="76" spans="1:11" x14ac:dyDescent="0.45">
      <c r="A76" t="s">
        <v>1022</v>
      </c>
    </row>
    <row r="77" spans="1:11" x14ac:dyDescent="0.45">
      <c r="A77" t="s">
        <v>1023</v>
      </c>
    </row>
    <row r="78" spans="1:11" x14ac:dyDescent="0.45">
      <c r="A78" t="s">
        <v>1024</v>
      </c>
    </row>
    <row r="80" spans="1:11" x14ac:dyDescent="0.45">
      <c r="A80" t="s">
        <v>1025</v>
      </c>
      <c r="B80" s="208">
        <v>147600</v>
      </c>
    </row>
    <row r="81" spans="1:7" x14ac:dyDescent="0.45">
      <c r="A81" t="s">
        <v>1026</v>
      </c>
      <c r="B81" s="208">
        <v>3371660</v>
      </c>
    </row>
    <row r="82" spans="1:7" x14ac:dyDescent="0.45">
      <c r="A82" t="s">
        <v>1027</v>
      </c>
      <c r="B82" s="208">
        <v>2759600</v>
      </c>
    </row>
    <row r="84" spans="1:7" x14ac:dyDescent="0.45">
      <c r="A84" t="s">
        <v>1028</v>
      </c>
      <c r="B84" s="5">
        <f>B80/B81</f>
        <v>4.3776656009206147E-2</v>
      </c>
    </row>
    <row r="85" spans="1:7" x14ac:dyDescent="0.45">
      <c r="A85" t="s">
        <v>1029</v>
      </c>
      <c r="B85" s="1">
        <f>B81/B82</f>
        <v>1.2217930134802146</v>
      </c>
    </row>
    <row r="86" spans="1:7" x14ac:dyDescent="0.45">
      <c r="A86" t="s">
        <v>850</v>
      </c>
      <c r="B86" s="384">
        <f>B84*B85</f>
        <v>5.3486012465574724E-2</v>
      </c>
    </row>
    <row r="88" spans="1:7" x14ac:dyDescent="0.45">
      <c r="A88" t="s">
        <v>1030</v>
      </c>
      <c r="B88" s="384">
        <f>B80/B82</f>
        <v>5.3486012465574724E-2</v>
      </c>
    </row>
    <row r="90" spans="1:7" x14ac:dyDescent="0.45">
      <c r="A90" t="s">
        <v>1031</v>
      </c>
      <c r="B90" s="15">
        <f>B85</f>
        <v>1.2217930134802146</v>
      </c>
    </row>
    <row r="92" spans="1:7" x14ac:dyDescent="0.45">
      <c r="A92" s="465" t="s">
        <v>1032</v>
      </c>
      <c r="B92" s="465"/>
      <c r="C92" s="465"/>
      <c r="D92" s="465"/>
      <c r="E92" s="465"/>
    </row>
    <row r="93" spans="1:7" x14ac:dyDescent="0.45">
      <c r="A93" s="465"/>
      <c r="B93" s="465"/>
      <c r="C93" s="465"/>
      <c r="D93" s="465"/>
      <c r="E93" s="465"/>
    </row>
    <row r="94" spans="1:7" x14ac:dyDescent="0.45">
      <c r="A94" s="465"/>
      <c r="B94" s="465"/>
      <c r="C94" s="465"/>
      <c r="D94" s="465"/>
      <c r="E94" s="465"/>
    </row>
    <row r="96" spans="1:7" ht="14.25" customHeight="1" x14ac:dyDescent="0.45">
      <c r="A96" s="465" t="s">
        <v>1033</v>
      </c>
      <c r="B96" s="465"/>
      <c r="C96" s="465"/>
      <c r="D96" s="465"/>
      <c r="E96" s="465"/>
      <c r="F96" s="465"/>
      <c r="G96" s="465"/>
    </row>
    <row r="97" spans="1:9" x14ac:dyDescent="0.45">
      <c r="A97" s="465"/>
      <c r="B97" s="465"/>
      <c r="C97" s="465"/>
      <c r="D97" s="465"/>
      <c r="E97" s="465"/>
      <c r="F97" s="465"/>
      <c r="G97" s="465"/>
    </row>
    <row r="98" spans="1:9" x14ac:dyDescent="0.45">
      <c r="A98" s="465"/>
      <c r="B98" s="465"/>
      <c r="C98" s="465"/>
      <c r="D98" s="465"/>
      <c r="E98" s="465"/>
      <c r="F98" s="465"/>
      <c r="G98" s="465"/>
    </row>
    <row r="99" spans="1:9" x14ac:dyDescent="0.45">
      <c r="A99" t="s">
        <v>1034</v>
      </c>
    </row>
    <row r="101" spans="1:9" s="33" customFormat="1" x14ac:dyDescent="0.45">
      <c r="A101" s="330">
        <v>7</v>
      </c>
    </row>
    <row r="103" spans="1:9" x14ac:dyDescent="0.45">
      <c r="A103" s="464" t="s">
        <v>1036</v>
      </c>
      <c r="B103" s="464"/>
      <c r="C103" s="464"/>
      <c r="D103" s="464"/>
      <c r="E103" s="464"/>
      <c r="F103" s="464"/>
      <c r="G103" s="464"/>
      <c r="H103" s="464"/>
      <c r="I103" s="464"/>
    </row>
    <row r="104" spans="1:9" x14ac:dyDescent="0.45">
      <c r="A104" s="464"/>
      <c r="B104" s="464"/>
      <c r="C104" s="464"/>
      <c r="D104" s="464"/>
      <c r="E104" s="464"/>
      <c r="F104" s="464"/>
      <c r="G104" s="464"/>
      <c r="H104" s="464"/>
      <c r="I104" s="464"/>
    </row>
    <row r="105" spans="1:9" x14ac:dyDescent="0.45">
      <c r="A105" s="464"/>
      <c r="B105" s="464"/>
      <c r="C105" s="464"/>
      <c r="D105" s="464"/>
      <c r="E105" s="464"/>
      <c r="F105" s="464"/>
      <c r="G105" s="464"/>
      <c r="H105" s="464"/>
      <c r="I105" s="464"/>
    </row>
    <row r="106" spans="1:9" x14ac:dyDescent="0.45">
      <c r="A106" s="464"/>
      <c r="B106" s="464"/>
      <c r="C106" s="464"/>
      <c r="D106" s="464"/>
      <c r="E106" s="464"/>
      <c r="F106" s="464"/>
      <c r="G106" s="464"/>
      <c r="H106" s="464"/>
      <c r="I106" s="464"/>
    </row>
    <row r="107" spans="1:9" x14ac:dyDescent="0.45">
      <c r="A107" s="464"/>
      <c r="B107" s="464"/>
      <c r="C107" s="464"/>
      <c r="D107" s="464"/>
      <c r="E107" s="464"/>
      <c r="F107" s="464"/>
      <c r="G107" s="464"/>
      <c r="H107" s="464"/>
      <c r="I107" s="464"/>
    </row>
    <row r="108" spans="1:9" x14ac:dyDescent="0.45">
      <c r="A108" s="464"/>
      <c r="B108" s="464"/>
      <c r="C108" s="464"/>
      <c r="D108" s="464"/>
      <c r="E108" s="464"/>
      <c r="F108" s="464"/>
      <c r="G108" s="464"/>
      <c r="H108" s="464"/>
      <c r="I108" s="464"/>
    </row>
    <row r="109" spans="1:9" x14ac:dyDescent="0.45">
      <c r="A109" s="464"/>
      <c r="B109" s="464"/>
      <c r="C109" s="464"/>
      <c r="D109" s="464"/>
      <c r="E109" s="464"/>
      <c r="F109" s="464"/>
      <c r="G109" s="464"/>
      <c r="H109" s="464"/>
      <c r="I109" s="464"/>
    </row>
    <row r="111" spans="1:9" s="33" customFormat="1" x14ac:dyDescent="0.45">
      <c r="A111" s="329">
        <v>8</v>
      </c>
    </row>
    <row r="113" spans="1:8" x14ac:dyDescent="0.45">
      <c r="A113" t="s">
        <v>1083</v>
      </c>
    </row>
    <row r="115" spans="1:8" x14ac:dyDescent="0.45">
      <c r="A115" t="s">
        <v>1084</v>
      </c>
    </row>
    <row r="117" spans="1:8" x14ac:dyDescent="0.45">
      <c r="A117" t="s">
        <v>1085</v>
      </c>
    </row>
    <row r="119" spans="1:8" s="33" customFormat="1" x14ac:dyDescent="0.45">
      <c r="A119" s="329">
        <v>9</v>
      </c>
    </row>
    <row r="121" spans="1:8" ht="14.25" customHeight="1" x14ac:dyDescent="0.45">
      <c r="A121" s="462" t="s">
        <v>1107</v>
      </c>
      <c r="B121" s="462"/>
      <c r="C121" s="462"/>
      <c r="D121" s="462"/>
      <c r="E121" s="462"/>
      <c r="F121" s="462"/>
      <c r="G121" s="462"/>
      <c r="H121" s="462"/>
    </row>
    <row r="122" spans="1:8" x14ac:dyDescent="0.45">
      <c r="A122" s="462"/>
      <c r="B122" s="462"/>
      <c r="C122" s="462"/>
      <c r="D122" s="462"/>
      <c r="E122" s="462"/>
      <c r="F122" s="462"/>
      <c r="G122" s="462"/>
      <c r="H122" s="462"/>
    </row>
    <row r="123" spans="1:8" x14ac:dyDescent="0.45">
      <c r="A123" s="462"/>
      <c r="B123" s="462"/>
      <c r="C123" s="462"/>
      <c r="D123" s="462"/>
      <c r="E123" s="462"/>
      <c r="F123" s="462"/>
      <c r="G123" s="462"/>
      <c r="H123" s="462"/>
    </row>
    <row r="124" spans="1:8" x14ac:dyDescent="0.45">
      <c r="A124" s="462"/>
      <c r="B124" s="462"/>
      <c r="C124" s="462"/>
      <c r="D124" s="462"/>
      <c r="E124" s="462"/>
      <c r="F124" s="462"/>
      <c r="G124" s="462"/>
      <c r="H124" s="462"/>
    </row>
    <row r="125" spans="1:8" x14ac:dyDescent="0.45">
      <c r="A125" t="s">
        <v>1108</v>
      </c>
    </row>
    <row r="126" spans="1:8" x14ac:dyDescent="0.45">
      <c r="A126" s="462" t="s">
        <v>1109</v>
      </c>
      <c r="B126" s="462"/>
      <c r="C126" s="462"/>
      <c r="D126" s="462"/>
      <c r="E126" s="462"/>
      <c r="F126" s="462"/>
      <c r="G126" s="462"/>
      <c r="H126" s="462"/>
    </row>
    <row r="127" spans="1:8" x14ac:dyDescent="0.45">
      <c r="A127" s="462"/>
      <c r="B127" s="462"/>
      <c r="C127" s="462"/>
      <c r="D127" s="462"/>
      <c r="E127" s="462"/>
      <c r="F127" s="462"/>
      <c r="G127" s="462"/>
      <c r="H127" s="462"/>
    </row>
    <row r="128" spans="1:8" x14ac:dyDescent="0.45">
      <c r="A128" s="462"/>
      <c r="B128" s="462"/>
      <c r="C128" s="462"/>
      <c r="D128" s="462"/>
      <c r="E128" s="462"/>
      <c r="F128" s="462"/>
      <c r="G128" s="462"/>
      <c r="H128" s="462"/>
    </row>
    <row r="129" spans="1:8" x14ac:dyDescent="0.45">
      <c r="A129" s="462"/>
      <c r="B129" s="462"/>
      <c r="C129" s="462"/>
      <c r="D129" s="462"/>
      <c r="E129" s="462"/>
      <c r="F129" s="462"/>
      <c r="G129" s="462"/>
      <c r="H129" s="462"/>
    </row>
  </sheetData>
  <mergeCells count="13">
    <mergeCell ref="A121:H124"/>
    <mergeCell ref="A126:H129"/>
    <mergeCell ref="A55:J62"/>
    <mergeCell ref="A2:I9"/>
    <mergeCell ref="A11:G14"/>
    <mergeCell ref="A20:J26"/>
    <mergeCell ref="A32:J39"/>
    <mergeCell ref="A43:J53"/>
    <mergeCell ref="A103:I109"/>
    <mergeCell ref="D69:G70"/>
    <mergeCell ref="I69:K70"/>
    <mergeCell ref="A92:E94"/>
    <mergeCell ref="A96:G9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21"/>
  <sheetViews>
    <sheetView topLeftCell="A95" workbookViewId="0">
      <selection activeCell="B95" sqref="B95"/>
    </sheetView>
  </sheetViews>
  <sheetFormatPr defaultRowHeight="14.25" x14ac:dyDescent="0.45"/>
  <cols>
    <col min="1" max="1" width="26" customWidth="1"/>
    <col min="2" max="2" width="27.46484375" customWidth="1"/>
    <col min="3" max="3" width="19.796875" customWidth="1"/>
    <col min="4" max="4" width="25.53125" customWidth="1"/>
    <col min="5" max="5" width="27.53125" customWidth="1"/>
    <col min="6" max="6" width="25.46484375" customWidth="1"/>
    <col min="7" max="7" width="14.46484375" customWidth="1"/>
    <col min="8" max="8" width="19.19921875" bestFit="1" customWidth="1"/>
    <col min="9" max="9" width="13.796875" customWidth="1"/>
    <col min="10" max="10" width="14.46484375" bestFit="1" customWidth="1"/>
  </cols>
  <sheetData>
    <row r="1" spans="1:10" s="33" customFormat="1" x14ac:dyDescent="0.45">
      <c r="A1" s="34">
        <v>1</v>
      </c>
    </row>
    <row r="2" spans="1:10" x14ac:dyDescent="0.45">
      <c r="A2" s="471" t="s">
        <v>7</v>
      </c>
      <c r="B2" s="471"/>
      <c r="C2" s="471"/>
      <c r="D2" s="471"/>
      <c r="F2" s="466" t="s">
        <v>8</v>
      </c>
      <c r="G2" s="466"/>
      <c r="H2" s="466"/>
      <c r="I2" s="466"/>
      <c r="J2" s="466"/>
    </row>
    <row r="3" spans="1:10" x14ac:dyDescent="0.45">
      <c r="A3" s="471"/>
      <c r="B3" s="471"/>
      <c r="C3" s="471"/>
      <c r="D3" s="471"/>
      <c r="F3" s="466"/>
      <c r="G3" s="466"/>
      <c r="H3" s="466"/>
      <c r="I3" s="466"/>
      <c r="J3" s="466"/>
    </row>
    <row r="4" spans="1:10" x14ac:dyDescent="0.45">
      <c r="A4" s="471"/>
      <c r="B4" s="471"/>
      <c r="C4" s="471"/>
      <c r="D4" s="471"/>
      <c r="F4" s="466"/>
      <c r="G4" s="466"/>
      <c r="H4" s="466"/>
      <c r="I4" s="466"/>
      <c r="J4" s="466"/>
    </row>
    <row r="6" spans="1:10" x14ac:dyDescent="0.45">
      <c r="A6" s="1" t="s">
        <v>9</v>
      </c>
      <c r="B6" s="1"/>
      <c r="C6" s="1"/>
      <c r="D6" s="1"/>
      <c r="E6" s="1" t="s">
        <v>10</v>
      </c>
      <c r="F6" s="3">
        <v>2020</v>
      </c>
      <c r="G6" s="3">
        <v>2021</v>
      </c>
      <c r="H6" s="1" t="s">
        <v>11</v>
      </c>
      <c r="I6" s="1" t="s">
        <v>12</v>
      </c>
      <c r="J6" s="1"/>
    </row>
    <row r="7" spans="1:10" x14ac:dyDescent="0.45">
      <c r="A7" s="2" t="s">
        <v>13</v>
      </c>
      <c r="B7" s="2">
        <v>3743092</v>
      </c>
      <c r="C7" s="4">
        <f>B7/$B$13</f>
        <v>0.30619501631800178</v>
      </c>
      <c r="D7" s="2" t="s">
        <v>14</v>
      </c>
      <c r="E7" s="2" t="s">
        <v>13</v>
      </c>
      <c r="F7" s="2">
        <v>4770618</v>
      </c>
      <c r="G7" s="2">
        <v>3743092</v>
      </c>
      <c r="H7" s="2">
        <f>G7-F7</f>
        <v>-1027526</v>
      </c>
      <c r="I7" s="4">
        <f>H7/F7</f>
        <v>-0.21538635036383127</v>
      </c>
      <c r="J7" s="2" t="s">
        <v>15</v>
      </c>
    </row>
    <row r="8" spans="1:10" x14ac:dyDescent="0.45">
      <c r="A8" s="2" t="s">
        <v>16</v>
      </c>
      <c r="B8" s="2">
        <v>4427526</v>
      </c>
      <c r="C8" s="4">
        <f t="shared" ref="C8:C13" si="0">B8/$B$13</f>
        <v>0.36218356263174323</v>
      </c>
      <c r="D8" s="2" t="s">
        <v>14</v>
      </c>
      <c r="E8" s="1" t="s">
        <v>16</v>
      </c>
      <c r="F8" s="1">
        <v>4470618</v>
      </c>
      <c r="G8" s="1">
        <v>4427526</v>
      </c>
      <c r="H8" s="1">
        <f t="shared" ref="H8:H13" si="1">G8-F8</f>
        <v>-43092</v>
      </c>
      <c r="I8" s="5">
        <f t="shared" ref="I8:I13" si="2">H8/F8</f>
        <v>-9.6389358249799016E-3</v>
      </c>
      <c r="J8" s="1"/>
    </row>
    <row r="9" spans="1:10" x14ac:dyDescent="0.45">
      <c r="A9" s="1" t="s">
        <v>17</v>
      </c>
      <c r="B9" s="1">
        <v>91059</v>
      </c>
      <c r="C9" s="5">
        <f t="shared" si="0"/>
        <v>7.4488716790559574E-3</v>
      </c>
      <c r="D9" s="1"/>
      <c r="E9" s="2" t="s">
        <v>17</v>
      </c>
      <c r="F9" s="2">
        <v>118585</v>
      </c>
      <c r="G9" s="2">
        <v>91059</v>
      </c>
      <c r="H9" s="2">
        <f t="shared" si="1"/>
        <v>-27526</v>
      </c>
      <c r="I9" s="4">
        <f t="shared" si="2"/>
        <v>-0.23212041995193322</v>
      </c>
      <c r="J9" s="2" t="s">
        <v>15</v>
      </c>
    </row>
    <row r="10" spans="1:10" x14ac:dyDescent="0.45">
      <c r="A10" s="1" t="s">
        <v>18</v>
      </c>
      <c r="B10" s="1">
        <v>3281447</v>
      </c>
      <c r="C10" s="5">
        <f t="shared" si="0"/>
        <v>0.26843121080423832</v>
      </c>
      <c r="D10" s="1"/>
      <c r="E10" s="1" t="s">
        <v>18</v>
      </c>
      <c r="F10" s="1">
        <v>3272506</v>
      </c>
      <c r="G10" s="1">
        <v>3281447</v>
      </c>
      <c r="H10" s="1">
        <f t="shared" si="1"/>
        <v>8941</v>
      </c>
      <c r="I10" s="5">
        <f t="shared" si="2"/>
        <v>2.7321569463890976E-3</v>
      </c>
      <c r="J10" s="1"/>
    </row>
    <row r="11" spans="1:10" x14ac:dyDescent="0.45">
      <c r="A11" s="1" t="s">
        <v>19</v>
      </c>
      <c r="B11" s="1">
        <v>461249</v>
      </c>
      <c r="C11" s="5">
        <f t="shared" si="0"/>
        <v>3.7731411646217086E-2</v>
      </c>
      <c r="D11" s="1"/>
      <c r="E11" s="1" t="s">
        <v>19</v>
      </c>
      <c r="F11" s="1">
        <v>442696</v>
      </c>
      <c r="G11" s="1">
        <v>461249</v>
      </c>
      <c r="H11" s="1">
        <f t="shared" si="1"/>
        <v>18553</v>
      </c>
      <c r="I11" s="5">
        <f t="shared" si="2"/>
        <v>4.1909120479968198E-2</v>
      </c>
      <c r="J11" s="1"/>
    </row>
    <row r="12" spans="1:10" x14ac:dyDescent="0.45">
      <c r="A12" s="1" t="s">
        <v>20</v>
      </c>
      <c r="B12" s="1">
        <v>220163</v>
      </c>
      <c r="C12" s="5">
        <f t="shared" si="0"/>
        <v>1.8009926920743657E-2</v>
      </c>
      <c r="D12" s="1"/>
      <c r="E12" s="1" t="s">
        <v>20</v>
      </c>
      <c r="F12" s="1">
        <v>181412</v>
      </c>
      <c r="G12" s="1">
        <v>220163</v>
      </c>
      <c r="H12" s="1">
        <f t="shared" si="1"/>
        <v>38751</v>
      </c>
      <c r="I12" s="5">
        <f t="shared" si="2"/>
        <v>0.21360769960090842</v>
      </c>
      <c r="J12" s="1"/>
    </row>
    <row r="13" spans="1:10" x14ac:dyDescent="0.45">
      <c r="A13" s="1" t="s">
        <v>21</v>
      </c>
      <c r="B13" s="1">
        <v>12224536</v>
      </c>
      <c r="C13" s="5">
        <f t="shared" si="0"/>
        <v>1</v>
      </c>
      <c r="D13" s="1"/>
      <c r="E13" s="1" t="s">
        <v>21</v>
      </c>
      <c r="F13" s="1">
        <v>13256435</v>
      </c>
      <c r="G13" s="1">
        <v>12224536</v>
      </c>
      <c r="H13" s="1">
        <f t="shared" si="1"/>
        <v>-1031899</v>
      </c>
      <c r="I13" s="5">
        <f t="shared" si="2"/>
        <v>-7.7841365344453461E-2</v>
      </c>
      <c r="J13" s="1"/>
    </row>
    <row r="14" spans="1:10" s="33" customFormat="1" x14ac:dyDescent="0.45">
      <c r="A14" s="34">
        <v>2</v>
      </c>
    </row>
    <row r="15" spans="1:10" ht="14.55" customHeight="1" x14ac:dyDescent="0.45">
      <c r="A15" s="473" t="s">
        <v>22</v>
      </c>
      <c r="B15" s="473"/>
      <c r="C15" s="473"/>
      <c r="D15" s="473"/>
      <c r="E15" s="473"/>
      <c r="F15" s="473"/>
      <c r="G15" s="473"/>
      <c r="H15" s="473"/>
    </row>
    <row r="16" spans="1:10" x14ac:dyDescent="0.45">
      <c r="A16" s="473"/>
      <c r="B16" s="473"/>
      <c r="C16" s="473"/>
      <c r="D16" s="473"/>
      <c r="E16" s="473"/>
      <c r="F16" s="473"/>
      <c r="G16" s="473"/>
      <c r="H16" s="473"/>
    </row>
    <row r="17" spans="1:8" x14ac:dyDescent="0.45">
      <c r="A17" s="473"/>
      <c r="B17" s="473"/>
      <c r="C17" s="473"/>
      <c r="D17" s="473"/>
      <c r="E17" s="473"/>
      <c r="F17" s="473"/>
      <c r="G17" s="473"/>
      <c r="H17" s="473"/>
    </row>
    <row r="18" spans="1:8" x14ac:dyDescent="0.45">
      <c r="A18" s="473"/>
      <c r="B18" s="473"/>
      <c r="C18" s="473"/>
      <c r="D18" s="473"/>
      <c r="E18" s="473"/>
      <c r="F18" s="473"/>
      <c r="G18" s="473"/>
      <c r="H18" s="473"/>
    </row>
    <row r="19" spans="1:8" x14ac:dyDescent="0.45">
      <c r="A19" s="473"/>
      <c r="B19" s="473"/>
      <c r="C19" s="473"/>
      <c r="D19" s="473"/>
      <c r="E19" s="473"/>
      <c r="F19" s="473"/>
      <c r="G19" s="473"/>
      <c r="H19" s="473"/>
    </row>
    <row r="20" spans="1:8" s="33" customFormat="1" x14ac:dyDescent="0.45">
      <c r="A20" s="34">
        <v>3</v>
      </c>
    </row>
    <row r="21" spans="1:8" x14ac:dyDescent="0.45">
      <c r="A21" t="s">
        <v>23</v>
      </c>
    </row>
    <row r="22" spans="1:8" x14ac:dyDescent="0.45">
      <c r="A22" t="s">
        <v>24</v>
      </c>
    </row>
    <row r="23" spans="1:8" x14ac:dyDescent="0.45">
      <c r="A23" t="s">
        <v>25</v>
      </c>
    </row>
    <row r="24" spans="1:8" x14ac:dyDescent="0.45">
      <c r="A24" s="462" t="s">
        <v>26</v>
      </c>
      <c r="B24" s="462"/>
      <c r="C24" s="462"/>
      <c r="D24" s="462"/>
      <c r="E24" s="462"/>
      <c r="F24" s="462"/>
      <c r="G24" s="462"/>
    </row>
    <row r="25" spans="1:8" x14ac:dyDescent="0.45">
      <c r="A25" s="462"/>
      <c r="B25" s="462"/>
      <c r="C25" s="462"/>
      <c r="D25" s="462"/>
      <c r="E25" s="462"/>
      <c r="F25" s="462"/>
      <c r="G25" s="462"/>
    </row>
    <row r="26" spans="1:8" s="33" customFormat="1" x14ac:dyDescent="0.45">
      <c r="A26" s="34">
        <v>4</v>
      </c>
    </row>
    <row r="27" spans="1:8" x14ac:dyDescent="0.45">
      <c r="A27" t="s">
        <v>27</v>
      </c>
    </row>
    <row r="28" spans="1:8" x14ac:dyDescent="0.45">
      <c r="A28" t="s">
        <v>28</v>
      </c>
    </row>
    <row r="29" spans="1:8" x14ac:dyDescent="0.45">
      <c r="A29" t="s">
        <v>29</v>
      </c>
    </row>
    <row r="30" spans="1:8" s="57" customFormat="1" x14ac:dyDescent="0.45">
      <c r="A30" s="34">
        <v>5</v>
      </c>
    </row>
    <row r="31" spans="1:8" ht="14.55" customHeight="1" x14ac:dyDescent="0.45">
      <c r="A31" s="464" t="s">
        <v>30</v>
      </c>
      <c r="B31" s="464"/>
      <c r="C31" s="464"/>
      <c r="D31" s="464"/>
      <c r="E31" s="464"/>
      <c r="F31" s="464"/>
      <c r="G31" s="464"/>
      <c r="H31" s="464"/>
    </row>
    <row r="32" spans="1:8" ht="14.55" customHeight="1" x14ac:dyDescent="0.45">
      <c r="A32" s="464"/>
      <c r="B32" s="464"/>
      <c r="C32" s="464"/>
      <c r="D32" s="464"/>
      <c r="E32" s="464"/>
      <c r="F32" s="464"/>
      <c r="G32" s="464"/>
      <c r="H32" s="464"/>
    </row>
    <row r="33" spans="1:12" ht="14.55" customHeight="1" x14ac:dyDescent="0.45">
      <c r="A33" s="464"/>
      <c r="B33" s="464"/>
      <c r="C33" s="464"/>
      <c r="D33" s="464"/>
      <c r="E33" s="464"/>
      <c r="F33" s="464"/>
      <c r="G33" s="464"/>
      <c r="H33" s="464"/>
    </row>
    <row r="34" spans="1:12" ht="14.55" customHeight="1" x14ac:dyDescent="0.45">
      <c r="A34" s="464"/>
      <c r="B34" s="464"/>
      <c r="C34" s="464"/>
      <c r="D34" s="464"/>
      <c r="E34" s="464"/>
      <c r="F34" s="464"/>
      <c r="G34" s="464"/>
      <c r="H34" s="464"/>
    </row>
    <row r="35" spans="1:12" ht="14.55" customHeight="1" x14ac:dyDescent="0.45">
      <c r="A35" s="464"/>
      <c r="B35" s="464"/>
      <c r="C35" s="464"/>
      <c r="D35" s="464"/>
      <c r="E35" s="464"/>
      <c r="F35" s="464"/>
      <c r="G35" s="464"/>
      <c r="H35" s="464"/>
    </row>
    <row r="36" spans="1:12" ht="14.55" customHeight="1" x14ac:dyDescent="0.45">
      <c r="A36" s="464"/>
      <c r="B36" s="464"/>
      <c r="C36" s="464"/>
      <c r="D36" s="464"/>
      <c r="E36" s="464"/>
      <c r="F36" s="464"/>
      <c r="G36" s="464"/>
      <c r="H36" s="464"/>
    </row>
    <row r="37" spans="1:12" ht="14.55" customHeight="1" x14ac:dyDescent="0.45">
      <c r="A37" s="464"/>
      <c r="B37" s="464"/>
      <c r="C37" s="464"/>
      <c r="D37" s="464"/>
      <c r="E37" s="464"/>
      <c r="F37" s="464"/>
      <c r="G37" s="464"/>
      <c r="H37" s="464"/>
    </row>
    <row r="38" spans="1:12" ht="14.55" customHeight="1" x14ac:dyDescent="0.45">
      <c r="A38" s="464"/>
      <c r="B38" s="464"/>
      <c r="C38" s="464"/>
      <c r="D38" s="464"/>
      <c r="E38" s="464"/>
      <c r="F38" s="464"/>
      <c r="G38" s="464"/>
      <c r="H38" s="464"/>
    </row>
    <row r="39" spans="1:12" s="57" customFormat="1" x14ac:dyDescent="0.45">
      <c r="A39" s="34">
        <v>6</v>
      </c>
    </row>
    <row r="40" spans="1:12" x14ac:dyDescent="0.45">
      <c r="A40" s="58" t="s">
        <v>31</v>
      </c>
      <c r="B40" s="59" t="s">
        <v>31</v>
      </c>
      <c r="C40" s="59">
        <v>2020</v>
      </c>
      <c r="D40" s="59">
        <v>2021</v>
      </c>
      <c r="E40" s="59" t="s">
        <v>31</v>
      </c>
      <c r="F40" s="59" t="s">
        <v>31</v>
      </c>
      <c r="G40" s="59" t="s">
        <v>31</v>
      </c>
      <c r="H40" s="59" t="s">
        <v>31</v>
      </c>
      <c r="I40" s="60" t="s">
        <v>31</v>
      </c>
      <c r="J40" s="60" t="s">
        <v>31</v>
      </c>
      <c r="K40" s="60" t="s">
        <v>31</v>
      </c>
      <c r="L40" s="60" t="s">
        <v>31</v>
      </c>
    </row>
    <row r="41" spans="1:12" x14ac:dyDescent="0.45">
      <c r="A41" s="61" t="s">
        <v>31</v>
      </c>
      <c r="B41" s="62" t="s">
        <v>32</v>
      </c>
      <c r="C41" s="63">
        <v>90000</v>
      </c>
      <c r="D41" s="64">
        <v>120000</v>
      </c>
      <c r="E41" s="61" t="s">
        <v>31</v>
      </c>
      <c r="F41" s="65" t="s">
        <v>31</v>
      </c>
      <c r="G41" s="65" t="s">
        <v>31</v>
      </c>
      <c r="H41" s="65" t="s">
        <v>31</v>
      </c>
      <c r="I41" s="66" t="s">
        <v>31</v>
      </c>
      <c r="J41" s="66" t="s">
        <v>31</v>
      </c>
      <c r="K41" s="66" t="s">
        <v>31</v>
      </c>
      <c r="L41" s="66" t="s">
        <v>31</v>
      </c>
    </row>
    <row r="42" spans="1:12" x14ac:dyDescent="0.45">
      <c r="A42" s="61" t="s">
        <v>31</v>
      </c>
      <c r="B42" s="62" t="s">
        <v>33</v>
      </c>
      <c r="C42" s="63">
        <v>13000</v>
      </c>
      <c r="D42" s="64">
        <v>12000</v>
      </c>
      <c r="E42" s="61" t="s">
        <v>31</v>
      </c>
      <c r="F42" s="65" t="s">
        <v>31</v>
      </c>
      <c r="G42" s="65" t="s">
        <v>31</v>
      </c>
      <c r="H42" s="65" t="s">
        <v>31</v>
      </c>
      <c r="I42" s="66" t="s">
        <v>31</v>
      </c>
      <c r="J42" s="66" t="s">
        <v>31</v>
      </c>
      <c r="K42" s="66" t="s">
        <v>31</v>
      </c>
      <c r="L42" s="66" t="s">
        <v>31</v>
      </c>
    </row>
    <row r="43" spans="1:12" ht="15.75" x14ac:dyDescent="0.5">
      <c r="A43" s="61" t="s">
        <v>31</v>
      </c>
      <c r="B43" s="62" t="s">
        <v>34</v>
      </c>
      <c r="C43" s="63">
        <v>30000</v>
      </c>
      <c r="D43" s="64">
        <v>40000</v>
      </c>
      <c r="E43" s="67" t="s">
        <v>31</v>
      </c>
      <c r="F43" s="68" t="s">
        <v>31</v>
      </c>
      <c r="G43" s="65" t="s">
        <v>31</v>
      </c>
      <c r="H43" s="65" t="s">
        <v>31</v>
      </c>
      <c r="I43" s="66" t="s">
        <v>31</v>
      </c>
      <c r="J43" s="66" t="s">
        <v>31</v>
      </c>
      <c r="K43" s="66" t="s">
        <v>31</v>
      </c>
      <c r="L43" s="66" t="s">
        <v>31</v>
      </c>
    </row>
    <row r="44" spans="1:12" x14ac:dyDescent="0.45">
      <c r="A44" s="61" t="s">
        <v>31</v>
      </c>
      <c r="B44" s="62" t="s">
        <v>35</v>
      </c>
      <c r="C44" s="63">
        <v>120000</v>
      </c>
      <c r="D44" s="64">
        <v>150000</v>
      </c>
      <c r="E44" s="69" t="s">
        <v>31</v>
      </c>
      <c r="F44" s="66" t="s">
        <v>31</v>
      </c>
      <c r="G44" s="65" t="s">
        <v>31</v>
      </c>
      <c r="H44" s="65" t="s">
        <v>31</v>
      </c>
      <c r="I44" s="66" t="s">
        <v>31</v>
      </c>
      <c r="J44" s="66" t="s">
        <v>31</v>
      </c>
      <c r="K44" s="66" t="s">
        <v>31</v>
      </c>
      <c r="L44" s="66" t="s">
        <v>31</v>
      </c>
    </row>
    <row r="45" spans="1:12" x14ac:dyDescent="0.45">
      <c r="A45" s="61" t="s">
        <v>31</v>
      </c>
      <c r="B45" s="62" t="s">
        <v>36</v>
      </c>
      <c r="C45" s="63">
        <v>540000</v>
      </c>
      <c r="D45" s="64">
        <v>650000</v>
      </c>
      <c r="E45" s="69" t="s">
        <v>31</v>
      </c>
      <c r="F45" s="66" t="s">
        <v>31</v>
      </c>
      <c r="G45" s="65" t="s">
        <v>31</v>
      </c>
      <c r="H45" s="65" t="s">
        <v>31</v>
      </c>
      <c r="I45" s="66" t="s">
        <v>31</v>
      </c>
      <c r="J45" s="66" t="s">
        <v>31</v>
      </c>
      <c r="K45" s="66" t="s">
        <v>31</v>
      </c>
      <c r="L45" s="66" t="s">
        <v>31</v>
      </c>
    </row>
    <row r="46" spans="1:12" x14ac:dyDescent="0.45">
      <c r="A46" s="61" t="s">
        <v>31</v>
      </c>
      <c r="B46" s="59" t="s">
        <v>31</v>
      </c>
      <c r="C46" s="60" t="s">
        <v>31</v>
      </c>
      <c r="D46" s="60" t="s">
        <v>31</v>
      </c>
      <c r="E46" s="66" t="s">
        <v>31</v>
      </c>
      <c r="F46" s="66" t="s">
        <v>31</v>
      </c>
      <c r="G46" s="65" t="s">
        <v>31</v>
      </c>
      <c r="H46" s="65" t="s">
        <v>31</v>
      </c>
      <c r="I46" s="66" t="s">
        <v>31</v>
      </c>
      <c r="J46" s="66" t="s">
        <v>31</v>
      </c>
      <c r="K46" s="66" t="s">
        <v>31</v>
      </c>
      <c r="L46" s="66" t="s">
        <v>31</v>
      </c>
    </row>
    <row r="47" spans="1:12" x14ac:dyDescent="0.45">
      <c r="A47" s="61" t="s">
        <v>31</v>
      </c>
      <c r="B47" s="65" t="s">
        <v>37</v>
      </c>
      <c r="C47" s="65">
        <f>SUM(C41:C45)</f>
        <v>793000</v>
      </c>
      <c r="D47" s="65">
        <f>SUM(D41:D45)</f>
        <v>972000</v>
      </c>
      <c r="E47" s="65" t="s">
        <v>31</v>
      </c>
      <c r="F47" s="65" t="s">
        <v>31</v>
      </c>
      <c r="G47" s="65" t="s">
        <v>31</v>
      </c>
      <c r="H47" s="65" t="s">
        <v>31</v>
      </c>
      <c r="I47" s="66" t="s">
        <v>31</v>
      </c>
      <c r="J47" s="66" t="s">
        <v>31</v>
      </c>
      <c r="K47" s="66" t="s">
        <v>31</v>
      </c>
      <c r="L47" s="66" t="s">
        <v>31</v>
      </c>
    </row>
    <row r="48" spans="1:12" x14ac:dyDescent="0.45">
      <c r="A48" s="61" t="s">
        <v>31</v>
      </c>
      <c r="B48" s="62" t="s">
        <v>31</v>
      </c>
      <c r="C48" s="63" t="s">
        <v>31</v>
      </c>
      <c r="D48" s="64" t="s">
        <v>31</v>
      </c>
      <c r="E48" s="69" t="s">
        <v>31</v>
      </c>
      <c r="F48" s="66" t="s">
        <v>31</v>
      </c>
      <c r="G48" s="65" t="s">
        <v>31</v>
      </c>
      <c r="H48" s="65" t="s">
        <v>31</v>
      </c>
      <c r="I48" s="66" t="s">
        <v>31</v>
      </c>
      <c r="J48" s="66" t="s">
        <v>31</v>
      </c>
      <c r="K48" s="66" t="s">
        <v>31</v>
      </c>
      <c r="L48" s="66" t="s">
        <v>31</v>
      </c>
    </row>
    <row r="49" spans="1:12" x14ac:dyDescent="0.45">
      <c r="A49" s="61" t="s">
        <v>31</v>
      </c>
      <c r="B49" s="62" t="s">
        <v>38</v>
      </c>
      <c r="C49" s="63">
        <v>4500000</v>
      </c>
      <c r="D49" s="64">
        <v>4500000</v>
      </c>
      <c r="E49" s="69" t="s">
        <v>31</v>
      </c>
      <c r="F49" s="66" t="s">
        <v>31</v>
      </c>
      <c r="G49" s="65" t="s">
        <v>31</v>
      </c>
      <c r="H49" s="65" t="s">
        <v>31</v>
      </c>
      <c r="I49" s="66" t="s">
        <v>31</v>
      </c>
      <c r="J49" s="66" t="s">
        <v>31</v>
      </c>
      <c r="K49" s="66" t="s">
        <v>31</v>
      </c>
      <c r="L49" s="66" t="s">
        <v>31</v>
      </c>
    </row>
    <row r="50" spans="1:12" x14ac:dyDescent="0.45">
      <c r="A50" s="61" t="s">
        <v>31</v>
      </c>
      <c r="B50" s="62" t="s">
        <v>39</v>
      </c>
      <c r="C50" s="63">
        <v>100000</v>
      </c>
      <c r="D50" s="64">
        <v>100000</v>
      </c>
      <c r="E50" s="61" t="s">
        <v>31</v>
      </c>
      <c r="F50" s="65" t="s">
        <v>31</v>
      </c>
      <c r="G50" s="65" t="s">
        <v>31</v>
      </c>
      <c r="H50" s="65" t="s">
        <v>31</v>
      </c>
      <c r="I50" s="66" t="s">
        <v>31</v>
      </c>
      <c r="J50" s="66" t="s">
        <v>31</v>
      </c>
      <c r="K50" s="66" t="s">
        <v>31</v>
      </c>
      <c r="L50" s="66" t="s">
        <v>31</v>
      </c>
    </row>
    <row r="51" spans="1:12" x14ac:dyDescent="0.45">
      <c r="A51" s="61" t="s">
        <v>31</v>
      </c>
      <c r="B51" s="62" t="s">
        <v>40</v>
      </c>
      <c r="C51" s="63">
        <v>1322000</v>
      </c>
      <c r="D51" s="64">
        <v>889600</v>
      </c>
      <c r="E51" s="61" t="s">
        <v>31</v>
      </c>
      <c r="F51" s="65" t="s">
        <v>31</v>
      </c>
      <c r="G51" s="65" t="s">
        <v>31</v>
      </c>
      <c r="H51" s="65" t="s">
        <v>31</v>
      </c>
      <c r="I51" s="66" t="s">
        <v>31</v>
      </c>
      <c r="J51" s="66" t="s">
        <v>31</v>
      </c>
      <c r="K51" s="66" t="s">
        <v>31</v>
      </c>
      <c r="L51" s="66" t="s">
        <v>31</v>
      </c>
    </row>
    <row r="52" spans="1:12" x14ac:dyDescent="0.45">
      <c r="A52" s="61" t="s">
        <v>31</v>
      </c>
      <c r="B52" s="59" t="s">
        <v>31</v>
      </c>
      <c r="C52" s="59" t="s">
        <v>31</v>
      </c>
      <c r="D52" s="59" t="s">
        <v>31</v>
      </c>
      <c r="E52" s="65" t="s">
        <v>31</v>
      </c>
      <c r="F52" s="65" t="s">
        <v>31</v>
      </c>
      <c r="G52" s="65" t="s">
        <v>31</v>
      </c>
      <c r="H52" s="65" t="s">
        <v>31</v>
      </c>
      <c r="I52" s="66" t="s">
        <v>31</v>
      </c>
      <c r="J52" s="66" t="s">
        <v>31</v>
      </c>
      <c r="K52" s="66" t="s">
        <v>31</v>
      </c>
      <c r="L52" s="66" t="s">
        <v>31</v>
      </c>
    </row>
    <row r="53" spans="1:12" ht="15.75" x14ac:dyDescent="0.5">
      <c r="A53" s="61" t="s">
        <v>31</v>
      </c>
      <c r="B53" s="65" t="s">
        <v>6</v>
      </c>
      <c r="C53" s="65">
        <f>SUM(C49:C51)</f>
        <v>5922000</v>
      </c>
      <c r="D53" s="65">
        <f>SUM(D49:D51)</f>
        <v>5489600</v>
      </c>
      <c r="E53" s="65" t="s">
        <v>31</v>
      </c>
      <c r="F53" s="65" t="s">
        <v>31</v>
      </c>
      <c r="G53" s="70" t="s">
        <v>31</v>
      </c>
      <c r="H53" s="65" t="s">
        <v>31</v>
      </c>
      <c r="I53" s="66" t="s">
        <v>31</v>
      </c>
      <c r="J53" s="66" t="s">
        <v>31</v>
      </c>
      <c r="K53" s="66" t="s">
        <v>31</v>
      </c>
      <c r="L53" s="66" t="s">
        <v>31</v>
      </c>
    </row>
    <row r="54" spans="1:12" x14ac:dyDescent="0.45">
      <c r="A54" s="61" t="s">
        <v>31</v>
      </c>
      <c r="B54" s="65" t="s">
        <v>41</v>
      </c>
      <c r="C54" s="65">
        <f>C47+C53</f>
        <v>6715000</v>
      </c>
      <c r="D54" s="65">
        <f>D47+D53</f>
        <v>6461600</v>
      </c>
      <c r="E54" s="65" t="s">
        <v>31</v>
      </c>
      <c r="F54" s="65" t="s">
        <v>31</v>
      </c>
      <c r="G54" s="65" t="s">
        <v>31</v>
      </c>
      <c r="H54" s="65" t="s">
        <v>31</v>
      </c>
      <c r="I54" s="66" t="s">
        <v>31</v>
      </c>
      <c r="J54" s="66" t="s">
        <v>31</v>
      </c>
      <c r="K54" s="66" t="s">
        <v>31</v>
      </c>
      <c r="L54" s="66" t="s">
        <v>31</v>
      </c>
    </row>
    <row r="55" spans="1:12" x14ac:dyDescent="0.45">
      <c r="A55" s="61" t="s">
        <v>31</v>
      </c>
      <c r="B55" s="65" t="s">
        <v>31</v>
      </c>
      <c r="C55" s="65" t="s">
        <v>31</v>
      </c>
      <c r="D55" s="65" t="s">
        <v>31</v>
      </c>
      <c r="E55" s="65" t="s">
        <v>31</v>
      </c>
      <c r="F55" s="65" t="s">
        <v>31</v>
      </c>
      <c r="G55" s="65" t="s">
        <v>31</v>
      </c>
      <c r="H55" s="65" t="s">
        <v>31</v>
      </c>
      <c r="I55" s="66" t="s">
        <v>31</v>
      </c>
      <c r="J55" s="66" t="s">
        <v>31</v>
      </c>
      <c r="K55" s="66" t="s">
        <v>31</v>
      </c>
      <c r="L55" s="66" t="s">
        <v>31</v>
      </c>
    </row>
    <row r="56" spans="1:12" x14ac:dyDescent="0.45">
      <c r="A56" s="61" t="s">
        <v>42</v>
      </c>
      <c r="B56" s="71" t="s">
        <v>43</v>
      </c>
      <c r="C56" s="73">
        <f>C47/C53</f>
        <v>0.13390746369469775</v>
      </c>
      <c r="D56" s="73">
        <f>D47/D53</f>
        <v>0.17706208102593995</v>
      </c>
      <c r="E56" s="65" t="s">
        <v>31</v>
      </c>
      <c r="F56" s="65" t="s">
        <v>31</v>
      </c>
      <c r="G56" s="65" t="s">
        <v>31</v>
      </c>
      <c r="H56" s="65" t="s">
        <v>31</v>
      </c>
      <c r="I56" s="66" t="s">
        <v>31</v>
      </c>
      <c r="J56" s="66" t="s">
        <v>31</v>
      </c>
      <c r="K56" s="66" t="s">
        <v>31</v>
      </c>
      <c r="L56" s="66" t="s">
        <v>31</v>
      </c>
    </row>
    <row r="57" spans="1:12" x14ac:dyDescent="0.45">
      <c r="A57" s="61" t="s">
        <v>31</v>
      </c>
      <c r="B57" s="72" t="s">
        <v>44</v>
      </c>
      <c r="C57" s="74">
        <f>C54/C53</f>
        <v>1.1339074636946977</v>
      </c>
      <c r="D57" s="74">
        <f>D54/D53</f>
        <v>1.17706208102594</v>
      </c>
      <c r="E57" s="65" t="s">
        <v>31</v>
      </c>
      <c r="F57" s="65" t="s">
        <v>31</v>
      </c>
      <c r="G57" s="65" t="s">
        <v>31</v>
      </c>
      <c r="H57" s="65" t="s">
        <v>31</v>
      </c>
      <c r="I57" s="66" t="s">
        <v>31</v>
      </c>
      <c r="J57" s="66" t="s">
        <v>31</v>
      </c>
      <c r="K57" s="66" t="s">
        <v>31</v>
      </c>
      <c r="L57" s="66" t="s">
        <v>31</v>
      </c>
    </row>
    <row r="58" spans="1:12" x14ac:dyDescent="0.45">
      <c r="A58" s="61" t="s">
        <v>31</v>
      </c>
      <c r="B58" s="72" t="s">
        <v>45</v>
      </c>
      <c r="C58" s="74">
        <f>C54/C47</f>
        <v>8.4678436317780577</v>
      </c>
      <c r="D58" s="74">
        <f>D54/D47</f>
        <v>6.647736625514403</v>
      </c>
      <c r="E58" s="65" t="s">
        <v>31</v>
      </c>
      <c r="F58" s="65" t="s">
        <v>31</v>
      </c>
      <c r="G58" s="65" t="s">
        <v>31</v>
      </c>
      <c r="H58" s="65" t="s">
        <v>31</v>
      </c>
      <c r="I58" s="66" t="s">
        <v>31</v>
      </c>
      <c r="J58" s="66" t="s">
        <v>31</v>
      </c>
      <c r="K58" s="66" t="s">
        <v>31</v>
      </c>
      <c r="L58" s="66" t="s">
        <v>31</v>
      </c>
    </row>
    <row r="59" spans="1:12" ht="14.55" customHeight="1" x14ac:dyDescent="0.45">
      <c r="A59" s="475" t="s">
        <v>46</v>
      </c>
      <c r="B59" s="476"/>
      <c r="C59" s="476"/>
      <c r="D59" s="476"/>
      <c r="E59" s="476"/>
      <c r="F59" s="476"/>
      <c r="G59" s="476"/>
      <c r="H59" s="476"/>
      <c r="I59" s="476"/>
      <c r="J59" s="476"/>
      <c r="K59" s="476"/>
      <c r="L59" s="477"/>
    </row>
    <row r="60" spans="1:12" ht="14.55" customHeight="1" x14ac:dyDescent="0.45">
      <c r="A60" s="478"/>
      <c r="B60" s="479"/>
      <c r="C60" s="479"/>
      <c r="D60" s="479"/>
      <c r="E60" s="479"/>
      <c r="F60" s="479"/>
      <c r="G60" s="479"/>
      <c r="H60" s="479"/>
      <c r="I60" s="479"/>
      <c r="J60" s="479"/>
      <c r="K60" s="479"/>
      <c r="L60" s="480"/>
    </row>
    <row r="61" spans="1:12" ht="14.55" customHeight="1" x14ac:dyDescent="0.45">
      <c r="A61" s="481"/>
      <c r="B61" s="482"/>
      <c r="C61" s="482"/>
      <c r="D61" s="482"/>
      <c r="E61" s="482"/>
      <c r="F61" s="482"/>
      <c r="G61" s="482"/>
      <c r="H61" s="482"/>
      <c r="I61" s="482"/>
      <c r="J61" s="482"/>
      <c r="K61" s="482"/>
      <c r="L61" s="483"/>
    </row>
    <row r="63" spans="1:12" s="57" customFormat="1" x14ac:dyDescent="0.45">
      <c r="A63" s="34">
        <v>7</v>
      </c>
    </row>
    <row r="65" spans="1:6" ht="15.75" x14ac:dyDescent="0.5">
      <c r="A65" s="87" t="s">
        <v>47</v>
      </c>
      <c r="B65" s="87"/>
      <c r="C65" s="88"/>
    </row>
    <row r="66" spans="1:6" x14ac:dyDescent="0.45">
      <c r="A66" s="89"/>
      <c r="B66" s="90"/>
      <c r="C66" s="91"/>
    </row>
    <row r="67" spans="1:6" x14ac:dyDescent="0.45">
      <c r="A67" s="92" t="s">
        <v>48</v>
      </c>
      <c r="B67" s="93"/>
      <c r="C67" s="94">
        <v>31</v>
      </c>
    </row>
    <row r="68" spans="1:6" x14ac:dyDescent="0.45">
      <c r="A68" s="92" t="s">
        <v>49</v>
      </c>
      <c r="B68" s="93"/>
      <c r="C68" s="93">
        <v>6085</v>
      </c>
    </row>
    <row r="69" spans="1:6" x14ac:dyDescent="0.45">
      <c r="A69" s="92" t="s">
        <v>50</v>
      </c>
      <c r="B69" s="93"/>
      <c r="C69" s="93">
        <v>5580</v>
      </c>
    </row>
    <row r="70" spans="1:6" x14ac:dyDescent="0.45">
      <c r="A70" s="92" t="s">
        <v>51</v>
      </c>
      <c r="B70" s="93"/>
      <c r="C70" s="95">
        <v>0.6</v>
      </c>
    </row>
    <row r="72" spans="1:6" x14ac:dyDescent="0.45">
      <c r="A72" t="s">
        <v>52</v>
      </c>
      <c r="B72" t="s">
        <v>53</v>
      </c>
    </row>
    <row r="73" spans="1:6" x14ac:dyDescent="0.45">
      <c r="A73" t="s">
        <v>54</v>
      </c>
    </row>
    <row r="74" spans="1:6" x14ac:dyDescent="0.45">
      <c r="A74" t="s">
        <v>55</v>
      </c>
      <c r="B74">
        <f>C69/C67</f>
        <v>180</v>
      </c>
    </row>
    <row r="75" spans="1:6" x14ac:dyDescent="0.45">
      <c r="A75" t="s">
        <v>56</v>
      </c>
      <c r="B75" t="s">
        <v>57</v>
      </c>
    </row>
    <row r="76" spans="1:6" x14ac:dyDescent="0.45">
      <c r="A76" t="s">
        <v>58</v>
      </c>
      <c r="B76" s="96">
        <f>B74/C70</f>
        <v>300</v>
      </c>
    </row>
    <row r="78" spans="1:6" s="57" customFormat="1" x14ac:dyDescent="0.45">
      <c r="A78" s="34">
        <v>8</v>
      </c>
    </row>
    <row r="80" spans="1:6" ht="17.55" customHeight="1" x14ac:dyDescent="0.7">
      <c r="A80" s="474" t="s">
        <v>59</v>
      </c>
      <c r="B80" s="462"/>
      <c r="C80" s="145"/>
      <c r="D80" s="145"/>
      <c r="E80" s="145"/>
      <c r="F80" s="145"/>
    </row>
    <row r="81" spans="1:6" s="17" customFormat="1" ht="15.75" x14ac:dyDescent="0.5">
      <c r="A81" s="22"/>
      <c r="B81" s="125">
        <v>2021</v>
      </c>
      <c r="C81" s="126">
        <v>2022</v>
      </c>
      <c r="D81" s="127"/>
      <c r="E81" s="127">
        <v>2021</v>
      </c>
      <c r="F81" s="128">
        <v>2022</v>
      </c>
    </row>
    <row r="82" spans="1:6" ht="15.75" x14ac:dyDescent="0.5">
      <c r="A82" s="146" t="s">
        <v>4</v>
      </c>
      <c r="B82" s="146"/>
      <c r="C82" s="147"/>
      <c r="D82" s="146" t="s">
        <v>60</v>
      </c>
      <c r="E82" s="146"/>
      <c r="F82" s="146"/>
    </row>
    <row r="83" spans="1:6" ht="15.75" x14ac:dyDescent="0.5">
      <c r="A83" s="146" t="s">
        <v>61</v>
      </c>
      <c r="B83" s="146"/>
      <c r="C83" s="148"/>
      <c r="D83" s="149"/>
      <c r="E83" s="149"/>
      <c r="F83" s="149"/>
    </row>
    <row r="84" spans="1:6" ht="15.75" x14ac:dyDescent="0.5">
      <c r="A84" s="146" t="s">
        <v>13</v>
      </c>
      <c r="B84" s="150">
        <v>1000000</v>
      </c>
      <c r="C84" s="151">
        <v>4980000</v>
      </c>
      <c r="D84" s="149" t="s">
        <v>62</v>
      </c>
      <c r="E84" s="150">
        <v>800000</v>
      </c>
      <c r="F84" s="150">
        <v>900000</v>
      </c>
    </row>
    <row r="85" spans="1:6" ht="15.75" x14ac:dyDescent="0.5">
      <c r="A85" s="146" t="s">
        <v>16</v>
      </c>
      <c r="B85" s="150">
        <v>4000000</v>
      </c>
      <c r="C85" s="151">
        <v>4300000</v>
      </c>
      <c r="D85" s="149" t="s">
        <v>63</v>
      </c>
      <c r="E85" s="150">
        <v>600000</v>
      </c>
      <c r="F85" s="150">
        <v>550000</v>
      </c>
    </row>
    <row r="86" spans="1:6" ht="15.75" x14ac:dyDescent="0.5">
      <c r="A86" s="146" t="s">
        <v>17</v>
      </c>
      <c r="B86" s="150">
        <v>150000</v>
      </c>
      <c r="C86" s="151">
        <v>150000</v>
      </c>
      <c r="D86" s="149" t="s">
        <v>64</v>
      </c>
      <c r="E86" s="150">
        <v>1000000</v>
      </c>
      <c r="F86" s="150">
        <v>1100000</v>
      </c>
    </row>
    <row r="87" spans="1:6" ht="15.75" x14ac:dyDescent="0.5">
      <c r="A87" s="146" t="s">
        <v>18</v>
      </c>
      <c r="B87" s="150">
        <v>3000000</v>
      </c>
      <c r="C87" s="151">
        <v>3250000</v>
      </c>
      <c r="D87" s="149" t="s">
        <v>65</v>
      </c>
      <c r="E87" s="150">
        <v>600000</v>
      </c>
      <c r="F87" s="150">
        <v>1100000</v>
      </c>
    </row>
    <row r="88" spans="1:6" ht="15.75" x14ac:dyDescent="0.5">
      <c r="A88" s="146" t="s">
        <v>66</v>
      </c>
      <c r="B88" s="150">
        <v>400000</v>
      </c>
      <c r="C88" s="151">
        <v>420000</v>
      </c>
      <c r="D88" s="149" t="s">
        <v>67</v>
      </c>
      <c r="E88" s="150">
        <v>200000</v>
      </c>
      <c r="F88" s="150">
        <v>250000</v>
      </c>
    </row>
    <row r="89" spans="1:6" ht="15.75" x14ac:dyDescent="0.5">
      <c r="A89" s="146" t="s">
        <v>68</v>
      </c>
      <c r="B89" s="150">
        <v>100000</v>
      </c>
      <c r="C89" s="151">
        <v>100000</v>
      </c>
      <c r="D89" s="129" t="s">
        <v>69</v>
      </c>
      <c r="E89" s="130">
        <v>3200000</v>
      </c>
      <c r="F89" s="130">
        <v>3900000</v>
      </c>
    </row>
    <row r="90" spans="1:6" ht="15.75" x14ac:dyDescent="0.5">
      <c r="A90" s="22" t="s">
        <v>21</v>
      </c>
      <c r="B90" s="130">
        <v>8650000</v>
      </c>
      <c r="C90" s="131">
        <v>13200000</v>
      </c>
      <c r="D90" s="149"/>
      <c r="E90" s="149"/>
      <c r="F90" s="149"/>
    </row>
    <row r="91" spans="1:6" ht="15.75" x14ac:dyDescent="0.5">
      <c r="A91" s="22"/>
      <c r="B91" s="129"/>
      <c r="D91" s="129"/>
      <c r="E91" s="129"/>
      <c r="F91" s="129"/>
    </row>
    <row r="92" spans="1:6" ht="16.149999999999999" thickBot="1" x14ac:dyDescent="0.55000000000000004">
      <c r="A92" s="22"/>
      <c r="B92" s="129"/>
      <c r="D92" s="149" t="s">
        <v>70</v>
      </c>
      <c r="E92" s="149">
        <v>8000000</v>
      </c>
      <c r="F92" s="149">
        <v>7900000</v>
      </c>
    </row>
    <row r="93" spans="1:6" ht="15.75" x14ac:dyDescent="0.5">
      <c r="A93" s="134" t="s">
        <v>71</v>
      </c>
      <c r="B93" s="135" t="s">
        <v>72</v>
      </c>
      <c r="D93" s="149"/>
      <c r="E93" s="149"/>
      <c r="F93" s="149"/>
    </row>
    <row r="94" spans="1:6" ht="15.75" x14ac:dyDescent="0.5">
      <c r="A94" s="143">
        <v>2021</v>
      </c>
      <c r="B94" s="144">
        <v>2022</v>
      </c>
      <c r="D94" s="149" t="s">
        <v>73</v>
      </c>
      <c r="E94" s="150">
        <v>100000</v>
      </c>
      <c r="F94" s="150">
        <v>100000</v>
      </c>
    </row>
    <row r="95" spans="1:6" ht="15.75" x14ac:dyDescent="0.5">
      <c r="A95" s="136">
        <f>E92/E97</f>
        <v>0.6324110671936759</v>
      </c>
      <c r="B95" s="137">
        <f>F92/F97</f>
        <v>0.59398496240601506</v>
      </c>
      <c r="D95" s="149" t="s">
        <v>74</v>
      </c>
      <c r="E95" s="150">
        <v>6000000</v>
      </c>
      <c r="F95" s="150">
        <v>6000000</v>
      </c>
    </row>
    <row r="96" spans="1:6" ht="15.75" x14ac:dyDescent="0.5">
      <c r="A96" s="136"/>
      <c r="B96" s="137"/>
      <c r="D96" s="149" t="s">
        <v>75</v>
      </c>
      <c r="E96" s="150">
        <v>6550000</v>
      </c>
      <c r="F96" s="150">
        <v>7200000</v>
      </c>
    </row>
    <row r="97" spans="1:6" ht="15.75" x14ac:dyDescent="0.5">
      <c r="A97" s="138" t="s">
        <v>76</v>
      </c>
      <c r="B97" s="139" t="s">
        <v>77</v>
      </c>
      <c r="D97" s="129" t="s">
        <v>6</v>
      </c>
      <c r="E97" s="130">
        <v>12650000</v>
      </c>
      <c r="F97" s="130">
        <v>13300000</v>
      </c>
    </row>
    <row r="98" spans="1:6" ht="15.75" x14ac:dyDescent="0.5">
      <c r="A98" s="143">
        <v>2021</v>
      </c>
      <c r="B98" s="144">
        <v>2022</v>
      </c>
      <c r="D98" s="149"/>
      <c r="E98" s="149"/>
      <c r="F98" s="149"/>
    </row>
    <row r="99" spans="1:6" ht="16.149999999999999" thickBot="1" x14ac:dyDescent="0.55000000000000004">
      <c r="A99" s="140">
        <f>B90/E89</f>
        <v>2.703125</v>
      </c>
      <c r="B99" s="141">
        <f>C90/F89</f>
        <v>3.3846153846153846</v>
      </c>
      <c r="D99" s="132" t="s">
        <v>5</v>
      </c>
      <c r="E99" s="133">
        <v>23850000</v>
      </c>
      <c r="F99" s="133">
        <v>25100000</v>
      </c>
    </row>
    <row r="102" spans="1:6" ht="14.55" customHeight="1" x14ac:dyDescent="0.45">
      <c r="A102" s="472" t="s">
        <v>78</v>
      </c>
      <c r="B102" s="472"/>
      <c r="C102" s="472"/>
      <c r="D102" s="472"/>
      <c r="E102" s="472"/>
    </row>
    <row r="103" spans="1:6" x14ac:dyDescent="0.45">
      <c r="A103" s="472"/>
      <c r="B103" s="472"/>
      <c r="C103" s="472"/>
      <c r="D103" s="472"/>
      <c r="E103" s="472"/>
    </row>
    <row r="104" spans="1:6" x14ac:dyDescent="0.45">
      <c r="A104" s="142"/>
      <c r="B104" s="142"/>
      <c r="C104" s="142"/>
      <c r="D104" s="142"/>
      <c r="E104" s="142"/>
    </row>
    <row r="105" spans="1:6" x14ac:dyDescent="0.45">
      <c r="A105" s="462" t="s">
        <v>79</v>
      </c>
      <c r="B105" s="462"/>
      <c r="C105" s="462"/>
      <c r="D105" s="462"/>
      <c r="E105" s="462"/>
    </row>
    <row r="106" spans="1:6" x14ac:dyDescent="0.45">
      <c r="A106" s="462"/>
      <c r="B106" s="462"/>
      <c r="C106" s="462"/>
      <c r="D106" s="462"/>
      <c r="E106" s="462"/>
    </row>
    <row r="108" spans="1:6" s="57" customFormat="1" x14ac:dyDescent="0.45">
      <c r="A108" s="34">
        <v>9</v>
      </c>
    </row>
    <row r="110" spans="1:6" x14ac:dyDescent="0.45">
      <c r="A110" t="s">
        <v>80</v>
      </c>
    </row>
    <row r="111" spans="1:6" x14ac:dyDescent="0.45">
      <c r="A111" t="s">
        <v>81</v>
      </c>
    </row>
    <row r="113" spans="1:7" x14ac:dyDescent="0.45">
      <c r="A113" t="s">
        <v>82</v>
      </c>
    </row>
    <row r="115" spans="1:7" s="57" customFormat="1" x14ac:dyDescent="0.45">
      <c r="A115" s="34">
        <v>10</v>
      </c>
    </row>
    <row r="116" spans="1:7" ht="14.65" thickBot="1" x14ac:dyDescent="0.5"/>
    <row r="117" spans="1:7" ht="16.149999999999999" thickBot="1" x14ac:dyDescent="0.55000000000000004">
      <c r="A117" s="192"/>
      <c r="B117" s="193">
        <v>2021</v>
      </c>
      <c r="C117" s="194">
        <v>2022</v>
      </c>
      <c r="D117" s="183"/>
      <c r="E117" s="189"/>
      <c r="F117" s="190">
        <v>2021</v>
      </c>
      <c r="G117" s="191">
        <v>2022</v>
      </c>
    </row>
    <row r="118" spans="1:7" ht="15.75" x14ac:dyDescent="0.5">
      <c r="A118" s="182" t="s">
        <v>61</v>
      </c>
      <c r="B118" s="184"/>
      <c r="C118" s="184"/>
      <c r="D118" s="183"/>
      <c r="E118" s="182" t="s">
        <v>305</v>
      </c>
      <c r="F118" s="185">
        <v>0</v>
      </c>
      <c r="G118" s="185">
        <v>0</v>
      </c>
    </row>
    <row r="119" spans="1:7" ht="15.75" x14ac:dyDescent="0.5">
      <c r="A119" s="186" t="s">
        <v>13</v>
      </c>
      <c r="B119" s="185">
        <v>4000000</v>
      </c>
      <c r="C119" s="185">
        <v>4233318</v>
      </c>
      <c r="D119" s="183"/>
      <c r="E119" s="186" t="s">
        <v>62</v>
      </c>
      <c r="F119" s="185">
        <v>588100</v>
      </c>
      <c r="G119" s="185">
        <v>623100</v>
      </c>
    </row>
    <row r="120" spans="1:7" ht="15.75" x14ac:dyDescent="0.5">
      <c r="A120" s="186" t="s">
        <v>17</v>
      </c>
      <c r="B120" s="185">
        <v>43000</v>
      </c>
      <c r="C120" s="185">
        <v>135000</v>
      </c>
      <c r="D120" s="183"/>
      <c r="E120" s="186" t="s">
        <v>335</v>
      </c>
      <c r="F120" s="185">
        <v>315000</v>
      </c>
      <c r="G120" s="185">
        <v>266500</v>
      </c>
    </row>
    <row r="121" spans="1:7" ht="15.75" x14ac:dyDescent="0.5">
      <c r="A121" s="186" t="s">
        <v>182</v>
      </c>
      <c r="B121" s="185">
        <v>276000</v>
      </c>
      <c r="C121" s="185">
        <v>450000</v>
      </c>
      <c r="D121" s="183"/>
      <c r="E121" s="186" t="s">
        <v>336</v>
      </c>
      <c r="F121" s="185">
        <v>250000</v>
      </c>
      <c r="G121" s="185">
        <v>145144</v>
      </c>
    </row>
    <row r="122" spans="1:7" ht="15.75" x14ac:dyDescent="0.5">
      <c r="A122" s="186" t="s">
        <v>165</v>
      </c>
      <c r="B122" s="185">
        <v>133000</v>
      </c>
      <c r="C122" s="185">
        <v>215000</v>
      </c>
      <c r="D122" s="183"/>
      <c r="E122" s="186" t="s">
        <v>164</v>
      </c>
      <c r="F122" s="185">
        <v>2315000</v>
      </c>
      <c r="G122" s="185">
        <v>2150000</v>
      </c>
    </row>
    <row r="123" spans="1:7" ht="15.75" x14ac:dyDescent="0.5">
      <c r="A123" s="186" t="s">
        <v>337</v>
      </c>
      <c r="B123" s="185">
        <v>234000</v>
      </c>
      <c r="C123" s="185">
        <v>210000</v>
      </c>
      <c r="D123" s="183"/>
      <c r="E123" s="186" t="s">
        <v>338</v>
      </c>
      <c r="F123" s="185">
        <v>600000</v>
      </c>
      <c r="G123" s="185">
        <v>575000</v>
      </c>
    </row>
    <row r="124" spans="1:7" ht="15.75" x14ac:dyDescent="0.5">
      <c r="A124" s="187" t="s">
        <v>339</v>
      </c>
      <c r="B124" s="185">
        <v>96000</v>
      </c>
      <c r="C124" s="185">
        <v>140000</v>
      </c>
      <c r="D124" s="183"/>
      <c r="E124" s="183"/>
      <c r="F124" s="183"/>
      <c r="G124" s="183"/>
    </row>
    <row r="125" spans="1:7" ht="15.75" x14ac:dyDescent="0.5">
      <c r="A125" s="186" t="s">
        <v>289</v>
      </c>
      <c r="B125" s="185">
        <v>25000</v>
      </c>
      <c r="C125" s="188">
        <v>25000</v>
      </c>
      <c r="D125" s="183"/>
      <c r="E125" s="183"/>
      <c r="F125" s="183"/>
      <c r="G125" s="183"/>
    </row>
    <row r="126" spans="1:7" x14ac:dyDescent="0.45">
      <c r="A126" s="181">
        <v>1.1000000000000001</v>
      </c>
    </row>
    <row r="127" spans="1:7" ht="15.75" x14ac:dyDescent="0.5">
      <c r="A127" s="195" t="s">
        <v>340</v>
      </c>
      <c r="B127" s="195"/>
    </row>
    <row r="128" spans="1:7" ht="15.75" x14ac:dyDescent="0.5">
      <c r="A128" s="195" t="s">
        <v>341</v>
      </c>
    </row>
    <row r="129" spans="1:6" ht="15.75" x14ac:dyDescent="0.5">
      <c r="A129" s="196">
        <f>(C119+C120+C121)/(G119+G120+G121+G122+G123)</f>
        <v>1.2815548079869268</v>
      </c>
    </row>
    <row r="131" spans="1:6" x14ac:dyDescent="0.45">
      <c r="A131" s="181">
        <v>1.2</v>
      </c>
    </row>
    <row r="132" spans="1:6" x14ac:dyDescent="0.45">
      <c r="A132" s="472" t="s">
        <v>342</v>
      </c>
      <c r="B132" s="472"/>
      <c r="C132" s="472"/>
      <c r="D132" s="472"/>
      <c r="E132" s="472"/>
      <c r="F132" s="472"/>
    </row>
    <row r="133" spans="1:6" x14ac:dyDescent="0.45">
      <c r="A133" s="472"/>
      <c r="B133" s="472"/>
      <c r="C133" s="472"/>
      <c r="D133" s="472"/>
      <c r="E133" s="472"/>
      <c r="F133" s="472"/>
    </row>
    <row r="134" spans="1:6" x14ac:dyDescent="0.45">
      <c r="A134" s="472"/>
      <c r="B134" s="472"/>
      <c r="C134" s="472"/>
      <c r="D134" s="472"/>
      <c r="E134" s="472"/>
      <c r="F134" s="472"/>
    </row>
    <row r="135" spans="1:6" x14ac:dyDescent="0.45">
      <c r="A135" s="472"/>
      <c r="B135" s="472"/>
      <c r="C135" s="472"/>
      <c r="D135" s="472"/>
      <c r="E135" s="472"/>
      <c r="F135" s="472"/>
    </row>
    <row r="137" spans="1:6" s="33" customFormat="1" x14ac:dyDescent="0.45">
      <c r="A137" s="34">
        <v>11</v>
      </c>
    </row>
    <row r="139" spans="1:6" x14ac:dyDescent="0.45">
      <c r="A139" s="465" t="s">
        <v>724</v>
      </c>
      <c r="B139" s="465"/>
      <c r="C139" s="465"/>
      <c r="D139" s="465"/>
      <c r="E139" s="465"/>
    </row>
    <row r="140" spans="1:6" x14ac:dyDescent="0.45">
      <c r="A140" s="465"/>
      <c r="B140" s="465"/>
      <c r="C140" s="465"/>
      <c r="D140" s="465"/>
      <c r="E140" s="465"/>
    </row>
    <row r="141" spans="1:6" x14ac:dyDescent="0.45">
      <c r="A141" s="465"/>
      <c r="B141" s="465"/>
      <c r="C141" s="465"/>
      <c r="D141" s="465"/>
      <c r="E141" s="465"/>
    </row>
    <row r="142" spans="1:6" x14ac:dyDescent="0.45">
      <c r="A142" s="465"/>
      <c r="B142" s="465"/>
      <c r="C142" s="465"/>
      <c r="D142" s="465"/>
      <c r="E142" s="465"/>
    </row>
    <row r="143" spans="1:6" x14ac:dyDescent="0.45">
      <c r="A143" s="465"/>
      <c r="B143" s="465"/>
      <c r="C143" s="465"/>
      <c r="D143" s="465"/>
      <c r="E143" s="465"/>
    </row>
    <row r="144" spans="1:6" x14ac:dyDescent="0.45">
      <c r="A144" s="465"/>
      <c r="B144" s="465"/>
      <c r="C144" s="465"/>
      <c r="D144" s="465"/>
      <c r="E144" s="465"/>
    </row>
    <row r="145" spans="1:5" x14ac:dyDescent="0.45">
      <c r="A145" s="465"/>
      <c r="B145" s="465"/>
      <c r="C145" s="465"/>
      <c r="D145" s="465"/>
      <c r="E145" s="465"/>
    </row>
    <row r="147" spans="1:5" s="33" customFormat="1" x14ac:dyDescent="0.45">
      <c r="A147" s="34">
        <v>12</v>
      </c>
    </row>
    <row r="149" spans="1:5" x14ac:dyDescent="0.45">
      <c r="A149" t="s">
        <v>725</v>
      </c>
    </row>
    <row r="150" spans="1:5" x14ac:dyDescent="0.45">
      <c r="A150" t="s">
        <v>726</v>
      </c>
    </row>
    <row r="151" spans="1:5" x14ac:dyDescent="0.45">
      <c r="A151" t="s">
        <v>727</v>
      </c>
    </row>
    <row r="152" spans="1:5" x14ac:dyDescent="0.45">
      <c r="A152" t="s">
        <v>730</v>
      </c>
    </row>
    <row r="153" spans="1:5" x14ac:dyDescent="0.45">
      <c r="A153" t="s">
        <v>728</v>
      </c>
    </row>
    <row r="154" spans="1:5" x14ac:dyDescent="0.45">
      <c r="A154" t="s">
        <v>729</v>
      </c>
    </row>
    <row r="155" spans="1:5" x14ac:dyDescent="0.45">
      <c r="A155" s="465" t="s">
        <v>731</v>
      </c>
      <c r="B155" s="465"/>
      <c r="C155" s="465"/>
      <c r="D155" s="465"/>
      <c r="E155" s="465"/>
    </row>
    <row r="156" spans="1:5" x14ac:dyDescent="0.45">
      <c r="A156" s="465"/>
      <c r="B156" s="465"/>
      <c r="C156" s="465"/>
      <c r="D156" s="465"/>
      <c r="E156" s="465"/>
    </row>
    <row r="157" spans="1:5" x14ac:dyDescent="0.45">
      <c r="A157" s="465"/>
      <c r="B157" s="465"/>
      <c r="C157" s="465"/>
      <c r="D157" s="465"/>
      <c r="E157" s="465"/>
    </row>
    <row r="158" spans="1:5" x14ac:dyDescent="0.45">
      <c r="A158" s="465"/>
      <c r="B158" s="465"/>
      <c r="C158" s="465"/>
      <c r="D158" s="465"/>
      <c r="E158" s="465"/>
    </row>
    <row r="159" spans="1:5" x14ac:dyDescent="0.45">
      <c r="A159" s="465"/>
      <c r="B159" s="465"/>
      <c r="C159" s="465"/>
      <c r="D159" s="465"/>
      <c r="E159" s="465"/>
    </row>
    <row r="160" spans="1:5" x14ac:dyDescent="0.45">
      <c r="A160" s="465"/>
      <c r="B160" s="465"/>
      <c r="C160" s="465"/>
      <c r="D160" s="465"/>
      <c r="E160" s="465"/>
    </row>
    <row r="161" spans="1:10" x14ac:dyDescent="0.45">
      <c r="A161" s="465"/>
      <c r="B161" s="465"/>
      <c r="C161" s="465"/>
      <c r="D161" s="465"/>
      <c r="E161" s="465"/>
    </row>
    <row r="162" spans="1:10" x14ac:dyDescent="0.45">
      <c r="A162" s="465"/>
      <c r="B162" s="465"/>
      <c r="C162" s="465"/>
      <c r="D162" s="465"/>
      <c r="E162" s="465"/>
    </row>
    <row r="163" spans="1:10" x14ac:dyDescent="0.45">
      <c r="A163" s="465"/>
      <c r="B163" s="465"/>
      <c r="C163" s="465"/>
      <c r="D163" s="465"/>
      <c r="E163" s="465"/>
    </row>
    <row r="164" spans="1:10" x14ac:dyDescent="0.45">
      <c r="A164" s="465"/>
      <c r="B164" s="465"/>
      <c r="C164" s="465"/>
      <c r="D164" s="465"/>
      <c r="E164" s="465"/>
    </row>
    <row r="165" spans="1:10" x14ac:dyDescent="0.45">
      <c r="A165" s="465"/>
      <c r="B165" s="465"/>
      <c r="C165" s="465"/>
      <c r="D165" s="465"/>
      <c r="E165" s="465"/>
    </row>
    <row r="166" spans="1:10" x14ac:dyDescent="0.45">
      <c r="A166" s="465"/>
      <c r="B166" s="465"/>
      <c r="C166" s="465"/>
      <c r="D166" s="465"/>
      <c r="E166" s="465"/>
    </row>
    <row r="167" spans="1:10" x14ac:dyDescent="0.45">
      <c r="A167" s="465"/>
      <c r="B167" s="465"/>
      <c r="C167" s="465"/>
      <c r="D167" s="465"/>
      <c r="E167" s="465"/>
    </row>
    <row r="169" spans="1:10" s="33" customFormat="1" x14ac:dyDescent="0.45">
      <c r="A169" s="34">
        <v>13</v>
      </c>
    </row>
    <row r="171" spans="1:10" x14ac:dyDescent="0.45">
      <c r="A171">
        <v>13.1</v>
      </c>
      <c r="D171" t="s">
        <v>732</v>
      </c>
    </row>
    <row r="172" spans="1:10" x14ac:dyDescent="0.45">
      <c r="E172">
        <v>2021</v>
      </c>
      <c r="F172">
        <v>2022</v>
      </c>
      <c r="I172">
        <v>2021</v>
      </c>
      <c r="J172">
        <v>2022</v>
      </c>
    </row>
    <row r="173" spans="1:10" x14ac:dyDescent="0.45">
      <c r="A173" t="s">
        <v>737</v>
      </c>
      <c r="D173" t="s">
        <v>61</v>
      </c>
      <c r="H173" t="s">
        <v>305</v>
      </c>
      <c r="I173">
        <v>0</v>
      </c>
      <c r="J173">
        <v>0</v>
      </c>
    </row>
    <row r="174" spans="1:10" x14ac:dyDescent="0.45">
      <c r="D174" t="s">
        <v>13</v>
      </c>
      <c r="E174">
        <v>4000000</v>
      </c>
      <c r="F174">
        <v>953744</v>
      </c>
      <c r="H174" t="s">
        <v>62</v>
      </c>
      <c r="I174">
        <v>588100</v>
      </c>
      <c r="J174">
        <v>623100</v>
      </c>
    </row>
    <row r="175" spans="1:10" x14ac:dyDescent="0.45">
      <c r="A175">
        <v>2021</v>
      </c>
      <c r="B175">
        <v>2022</v>
      </c>
      <c r="D175" t="s">
        <v>17</v>
      </c>
      <c r="E175">
        <v>43000</v>
      </c>
      <c r="F175">
        <v>135000</v>
      </c>
      <c r="H175" t="s">
        <v>335</v>
      </c>
      <c r="I175">
        <v>315000</v>
      </c>
      <c r="J175">
        <v>266500</v>
      </c>
    </row>
    <row r="176" spans="1:10" x14ac:dyDescent="0.45">
      <c r="A176" s="1">
        <f>(SUM(E174:E180)-E177-E178-E179-E180)/SUM(I174:I178)</f>
        <v>1.0616749834074874</v>
      </c>
      <c r="B176" s="1">
        <f>(SUM(F174:F180)-F177-F178-F179-F180)/SUM(J174:J178)</f>
        <v>0.40926829060702008</v>
      </c>
      <c r="D176" t="s">
        <v>182</v>
      </c>
      <c r="E176">
        <v>276000</v>
      </c>
      <c r="F176">
        <v>450000</v>
      </c>
      <c r="H176" t="s">
        <v>336</v>
      </c>
      <c r="I176">
        <v>250000</v>
      </c>
      <c r="J176">
        <v>145144</v>
      </c>
    </row>
    <row r="177" spans="1:10" x14ac:dyDescent="0.45">
      <c r="D177" t="s">
        <v>165</v>
      </c>
      <c r="E177">
        <v>133000</v>
      </c>
      <c r="F177">
        <v>215000</v>
      </c>
      <c r="H177" t="s">
        <v>164</v>
      </c>
      <c r="I177">
        <v>2315000</v>
      </c>
      <c r="J177">
        <v>2150000</v>
      </c>
    </row>
    <row r="178" spans="1:10" x14ac:dyDescent="0.45">
      <c r="A178" s="464" t="s">
        <v>738</v>
      </c>
      <c r="B178" s="464"/>
      <c r="D178" t="s">
        <v>337</v>
      </c>
      <c r="E178">
        <v>234000</v>
      </c>
      <c r="F178">
        <v>210000</v>
      </c>
      <c r="H178" t="s">
        <v>338</v>
      </c>
      <c r="I178">
        <v>600000</v>
      </c>
      <c r="J178">
        <v>575000</v>
      </c>
    </row>
    <row r="179" spans="1:10" x14ac:dyDescent="0.45">
      <c r="A179" s="464"/>
      <c r="B179" s="464"/>
      <c r="D179" t="s">
        <v>339</v>
      </c>
      <c r="E179">
        <v>96000</v>
      </c>
      <c r="F179">
        <v>140000</v>
      </c>
    </row>
    <row r="180" spans="1:10" x14ac:dyDescent="0.45">
      <c r="A180" s="464"/>
      <c r="B180" s="464"/>
      <c r="D180" t="s">
        <v>289</v>
      </c>
      <c r="E180">
        <v>25000</v>
      </c>
      <c r="F180">
        <v>0</v>
      </c>
    </row>
    <row r="181" spans="1:10" x14ac:dyDescent="0.45">
      <c r="A181" s="464"/>
      <c r="B181" s="464"/>
    </row>
    <row r="182" spans="1:10" x14ac:dyDescent="0.45">
      <c r="A182" s="464"/>
      <c r="B182" s="464"/>
      <c r="D182" t="s">
        <v>343</v>
      </c>
      <c r="H182" t="s">
        <v>344</v>
      </c>
    </row>
    <row r="183" spans="1:10" x14ac:dyDescent="0.45">
      <c r="A183" s="464"/>
      <c r="B183" s="464"/>
      <c r="D183" t="s">
        <v>291</v>
      </c>
      <c r="E183">
        <v>5800000</v>
      </c>
      <c r="F183">
        <v>5800000</v>
      </c>
      <c r="H183" t="s">
        <v>345</v>
      </c>
      <c r="I183">
        <v>11235000</v>
      </c>
      <c r="J183">
        <v>16000000</v>
      </c>
    </row>
    <row r="184" spans="1:10" x14ac:dyDescent="0.45">
      <c r="D184" t="s">
        <v>292</v>
      </c>
      <c r="E184">
        <v>13475000</v>
      </c>
      <c r="F184">
        <v>13475000</v>
      </c>
      <c r="H184" t="s">
        <v>346</v>
      </c>
      <c r="I184">
        <v>2500000</v>
      </c>
      <c r="J184">
        <v>2550000</v>
      </c>
    </row>
    <row r="185" spans="1:10" x14ac:dyDescent="0.45">
      <c r="A185">
        <v>13.2</v>
      </c>
      <c r="D185" t="s">
        <v>347</v>
      </c>
      <c r="E185">
        <v>-4000000</v>
      </c>
      <c r="F185">
        <v>-4539000</v>
      </c>
      <c r="H185" t="s">
        <v>348</v>
      </c>
      <c r="I185">
        <v>2000000</v>
      </c>
      <c r="J185">
        <v>2075000</v>
      </c>
    </row>
    <row r="186" spans="1:10" x14ac:dyDescent="0.45">
      <c r="D186" t="s">
        <v>293</v>
      </c>
      <c r="E186">
        <v>6150000</v>
      </c>
      <c r="F186">
        <v>5685000</v>
      </c>
      <c r="H186" t="s">
        <v>286</v>
      </c>
      <c r="I186">
        <v>2428900</v>
      </c>
      <c r="J186">
        <v>-6000000</v>
      </c>
    </row>
    <row r="187" spans="1:10" x14ac:dyDescent="0.45">
      <c r="A187" t="s">
        <v>739</v>
      </c>
      <c r="D187" t="s">
        <v>349</v>
      </c>
      <c r="E187">
        <v>-4000000</v>
      </c>
      <c r="F187">
        <v>-4140000</v>
      </c>
    </row>
    <row r="189" spans="1:10" x14ac:dyDescent="0.45">
      <c r="A189">
        <v>2021</v>
      </c>
      <c r="B189">
        <v>2022</v>
      </c>
      <c r="D189" t="s">
        <v>733</v>
      </c>
      <c r="E189">
        <v>22232000</v>
      </c>
      <c r="F189">
        <v>18384744</v>
      </c>
      <c r="H189" t="s">
        <v>734</v>
      </c>
      <c r="I189">
        <v>22232000</v>
      </c>
      <c r="J189">
        <v>18384744</v>
      </c>
    </row>
    <row r="190" spans="1:10" x14ac:dyDescent="0.45">
      <c r="A190" s="1">
        <f>E189/SUM(I174:I183)</f>
        <v>1.4527775418052551</v>
      </c>
      <c r="B190" s="1">
        <f>F189/SUM(J174:J183)</f>
        <v>0.9304140782390703</v>
      </c>
    </row>
    <row r="192" spans="1:10" x14ac:dyDescent="0.45">
      <c r="A192" t="s">
        <v>740</v>
      </c>
      <c r="D192" t="s">
        <v>735</v>
      </c>
    </row>
    <row r="193" spans="1:11" x14ac:dyDescent="0.45">
      <c r="A193" s="464" t="s">
        <v>741</v>
      </c>
      <c r="B193" s="464"/>
      <c r="D193" t="s">
        <v>736</v>
      </c>
    </row>
    <row r="194" spans="1:11" x14ac:dyDescent="0.45">
      <c r="A194" s="464"/>
      <c r="B194" s="464"/>
      <c r="F194">
        <v>2021</v>
      </c>
      <c r="G194">
        <v>2022</v>
      </c>
    </row>
    <row r="195" spans="1:11" x14ac:dyDescent="0.45">
      <c r="A195" s="464"/>
      <c r="B195" s="464"/>
      <c r="E195" t="s">
        <v>273</v>
      </c>
      <c r="F195">
        <v>100000</v>
      </c>
      <c r="G195">
        <v>-8428900</v>
      </c>
    </row>
    <row r="196" spans="1:11" x14ac:dyDescent="0.45">
      <c r="A196" s="464"/>
      <c r="B196" s="464"/>
    </row>
    <row r="198" spans="1:11" s="33" customFormat="1" x14ac:dyDescent="0.45">
      <c r="A198" s="34">
        <v>14</v>
      </c>
    </row>
    <row r="200" spans="1:11" ht="14.25" customHeight="1" x14ac:dyDescent="0.45">
      <c r="A200" t="s">
        <v>842</v>
      </c>
      <c r="E200" s="468" t="s">
        <v>851</v>
      </c>
      <c r="F200" s="468"/>
      <c r="G200" s="468"/>
      <c r="H200" s="468"/>
      <c r="I200" s="468"/>
      <c r="J200" s="468"/>
      <c r="K200" s="468"/>
    </row>
    <row r="201" spans="1:11" ht="14.25" customHeight="1" x14ac:dyDescent="0.45">
      <c r="E201" s="468"/>
      <c r="F201" s="468"/>
      <c r="G201" s="468"/>
      <c r="H201" s="468"/>
      <c r="I201" s="468"/>
      <c r="J201" s="468"/>
      <c r="K201" s="468"/>
    </row>
    <row r="202" spans="1:11" ht="16.149999999999999" thickBot="1" x14ac:dyDescent="0.55000000000000004">
      <c r="A202" t="s">
        <v>843</v>
      </c>
      <c r="B202" s="211">
        <f>F212/J210</f>
        <v>2.7419998859163766</v>
      </c>
      <c r="E202" s="357"/>
      <c r="F202" s="357"/>
      <c r="G202" s="357"/>
      <c r="H202" s="367"/>
      <c r="I202" s="367"/>
      <c r="J202" s="367"/>
      <c r="K202" s="367"/>
    </row>
    <row r="203" spans="1:11" ht="16.149999999999999" thickBot="1" x14ac:dyDescent="0.55000000000000004">
      <c r="A203" t="s">
        <v>844</v>
      </c>
      <c r="B203" s="211">
        <f>G212/K210</f>
        <v>1.0987903478533374</v>
      </c>
      <c r="E203" s="354"/>
      <c r="F203" s="355">
        <v>2022</v>
      </c>
      <c r="G203" s="356">
        <v>2023</v>
      </c>
      <c r="H203" s="367"/>
      <c r="I203" s="362"/>
      <c r="J203" s="363">
        <v>2022</v>
      </c>
      <c r="K203" s="364">
        <v>2023</v>
      </c>
    </row>
    <row r="204" spans="1:11" ht="15.75" x14ac:dyDescent="0.5">
      <c r="E204" s="357" t="s">
        <v>61</v>
      </c>
      <c r="F204" s="358"/>
      <c r="G204" s="358"/>
      <c r="H204" s="367"/>
      <c r="I204" s="357" t="s">
        <v>305</v>
      </c>
      <c r="J204" s="365">
        <v>0</v>
      </c>
      <c r="K204" s="365">
        <v>0</v>
      </c>
    </row>
    <row r="205" spans="1:11" ht="15.75" x14ac:dyDescent="0.5">
      <c r="A205" s="464" t="s">
        <v>845</v>
      </c>
      <c r="B205" s="464"/>
      <c r="C205" s="464"/>
      <c r="E205" s="359" t="s">
        <v>13</v>
      </c>
      <c r="F205" s="360">
        <v>4000000</v>
      </c>
      <c r="G205" s="360">
        <v>953744</v>
      </c>
      <c r="H205" s="367"/>
      <c r="I205" s="359" t="s">
        <v>62</v>
      </c>
      <c r="J205" s="360">
        <v>588100</v>
      </c>
      <c r="K205" s="360">
        <v>623100</v>
      </c>
    </row>
    <row r="206" spans="1:11" ht="15.75" x14ac:dyDescent="0.5">
      <c r="A206" s="464"/>
      <c r="B206" s="464"/>
      <c r="C206" s="464"/>
      <c r="E206" s="359" t="s">
        <v>17</v>
      </c>
      <c r="F206" s="360">
        <v>43000</v>
      </c>
      <c r="G206" s="360">
        <v>135000</v>
      </c>
      <c r="H206" s="367"/>
      <c r="I206" s="359" t="s">
        <v>335</v>
      </c>
      <c r="J206" s="360">
        <v>315000</v>
      </c>
      <c r="K206" s="360">
        <v>266500</v>
      </c>
    </row>
    <row r="207" spans="1:11" ht="15.75" x14ac:dyDescent="0.5">
      <c r="A207" s="464"/>
      <c r="B207" s="464"/>
      <c r="C207" s="464"/>
      <c r="E207" s="359" t="s">
        <v>182</v>
      </c>
      <c r="F207" s="360">
        <v>276000</v>
      </c>
      <c r="G207" s="360">
        <v>450000</v>
      </c>
      <c r="H207" s="367"/>
      <c r="I207" s="359" t="s">
        <v>336</v>
      </c>
      <c r="J207" s="360">
        <v>250000</v>
      </c>
      <c r="K207" s="360">
        <v>350000</v>
      </c>
    </row>
    <row r="208" spans="1:11" ht="15.75" x14ac:dyDescent="0.5">
      <c r="A208" s="464"/>
      <c r="B208" s="464"/>
      <c r="C208" s="464"/>
      <c r="E208" s="359" t="s">
        <v>165</v>
      </c>
      <c r="F208" s="360">
        <v>133000</v>
      </c>
      <c r="G208" s="360">
        <v>215000</v>
      </c>
      <c r="H208" s="367"/>
      <c r="I208" s="359" t="s">
        <v>164</v>
      </c>
      <c r="J208" s="360">
        <v>0</v>
      </c>
      <c r="K208" s="360">
        <v>0</v>
      </c>
    </row>
    <row r="209" spans="1:16" ht="15.75" x14ac:dyDescent="0.5">
      <c r="A209" s="464"/>
      <c r="B209" s="464"/>
      <c r="C209" s="464"/>
      <c r="E209" s="359" t="s">
        <v>337</v>
      </c>
      <c r="F209" s="360">
        <v>234000</v>
      </c>
      <c r="G209" s="360">
        <v>210000</v>
      </c>
      <c r="H209" s="367"/>
      <c r="I209" s="359" t="s">
        <v>338</v>
      </c>
      <c r="J209" s="360">
        <v>600000</v>
      </c>
      <c r="K209" s="360">
        <v>675000</v>
      </c>
    </row>
    <row r="210" spans="1:16" ht="15.75" x14ac:dyDescent="0.5">
      <c r="E210" s="361" t="s">
        <v>339</v>
      </c>
      <c r="F210" s="360">
        <v>96000</v>
      </c>
      <c r="G210" s="360">
        <v>140000</v>
      </c>
      <c r="H210" s="367"/>
      <c r="I210" s="367" t="s">
        <v>853</v>
      </c>
      <c r="J210" s="368">
        <f>SUM(J205:J209)</f>
        <v>1753100</v>
      </c>
      <c r="K210" s="368">
        <f>SUM(K205:K209)</f>
        <v>1914600</v>
      </c>
    </row>
    <row r="211" spans="1:16" ht="15.75" x14ac:dyDescent="0.5">
      <c r="A211" s="464" t="s">
        <v>846</v>
      </c>
      <c r="B211" s="464"/>
      <c r="C211" s="464"/>
      <c r="E211" s="359" t="s">
        <v>289</v>
      </c>
      <c r="F211" s="360">
        <v>25000</v>
      </c>
      <c r="G211" s="360">
        <v>0</v>
      </c>
      <c r="H211" s="367"/>
      <c r="I211" s="367"/>
      <c r="J211" s="368"/>
      <c r="K211" s="368"/>
    </row>
    <row r="212" spans="1:16" ht="15.75" x14ac:dyDescent="0.5">
      <c r="A212" s="464"/>
      <c r="B212" s="464"/>
      <c r="C212" s="464"/>
      <c r="E212" s="367" t="s">
        <v>852</v>
      </c>
      <c r="F212" s="368">
        <f>SUM(F205:F211)</f>
        <v>4807000</v>
      </c>
      <c r="G212" s="368">
        <f>SUM(G205:G211)</f>
        <v>2103744</v>
      </c>
      <c r="H212" s="367"/>
      <c r="I212" s="369"/>
      <c r="J212" s="360"/>
      <c r="K212" s="360"/>
    </row>
    <row r="213" spans="1:16" ht="15.75" x14ac:dyDescent="0.5">
      <c r="A213" s="464"/>
      <c r="B213" s="464"/>
      <c r="C213" s="464"/>
      <c r="E213" s="357" t="s">
        <v>343</v>
      </c>
      <c r="F213" s="368"/>
      <c r="G213" s="368"/>
      <c r="H213" s="367"/>
      <c r="I213" s="357" t="s">
        <v>344</v>
      </c>
      <c r="J213" s="360"/>
      <c r="K213" s="360"/>
    </row>
    <row r="214" spans="1:16" ht="15.75" x14ac:dyDescent="0.5">
      <c r="E214" s="359" t="s">
        <v>291</v>
      </c>
      <c r="F214" s="360">
        <v>5800000</v>
      </c>
      <c r="G214" s="360">
        <v>5846256</v>
      </c>
      <c r="H214" s="367"/>
      <c r="I214" s="370" t="s">
        <v>345</v>
      </c>
      <c r="J214" s="371">
        <v>11235000</v>
      </c>
      <c r="K214" s="371">
        <v>10287500</v>
      </c>
    </row>
    <row r="215" spans="1:16" ht="15.75" x14ac:dyDescent="0.5">
      <c r="A215" t="s">
        <v>847</v>
      </c>
      <c r="E215" s="359" t="s">
        <v>292</v>
      </c>
      <c r="F215" s="360">
        <v>12475000</v>
      </c>
      <c r="G215" s="360">
        <v>16475000</v>
      </c>
      <c r="H215" s="367"/>
      <c r="I215" s="359" t="s">
        <v>346</v>
      </c>
      <c r="J215" s="360">
        <v>2500000</v>
      </c>
      <c r="K215" s="360">
        <v>2500000</v>
      </c>
    </row>
    <row r="216" spans="1:16" ht="15.75" x14ac:dyDescent="0.5">
      <c r="A216" t="s">
        <v>848</v>
      </c>
      <c r="E216" s="359" t="s">
        <v>347</v>
      </c>
      <c r="F216" s="372">
        <v>-4157500</v>
      </c>
      <c r="G216" s="372">
        <v>-4539000</v>
      </c>
      <c r="H216" s="367"/>
      <c r="I216" s="367" t="s">
        <v>348</v>
      </c>
      <c r="J216" s="368">
        <v>2000000</v>
      </c>
      <c r="K216" s="368">
        <v>2000000</v>
      </c>
    </row>
    <row r="217" spans="1:16" ht="15.75" x14ac:dyDescent="0.5">
      <c r="A217" t="s">
        <v>849</v>
      </c>
      <c r="E217" s="359" t="s">
        <v>293</v>
      </c>
      <c r="F217" s="360">
        <v>5150000</v>
      </c>
      <c r="G217" s="360">
        <v>6685000</v>
      </c>
      <c r="H217" s="367"/>
      <c r="I217" s="359" t="s">
        <v>286</v>
      </c>
      <c r="J217" s="360">
        <v>2428900</v>
      </c>
      <c r="K217" s="373">
        <v>5728900</v>
      </c>
    </row>
    <row r="218" spans="1:16" ht="15.75" x14ac:dyDescent="0.5">
      <c r="A218" s="17" t="s">
        <v>859</v>
      </c>
      <c r="E218" s="359" t="s">
        <v>349</v>
      </c>
      <c r="F218" s="372">
        <v>-4157500</v>
      </c>
      <c r="G218" s="372">
        <v>-4140000</v>
      </c>
      <c r="H218" s="367"/>
      <c r="I218" s="367"/>
      <c r="J218" s="368"/>
      <c r="K218" s="368"/>
    </row>
    <row r="219" spans="1:16" ht="15.75" x14ac:dyDescent="0.5">
      <c r="A219" t="s">
        <v>850</v>
      </c>
      <c r="B219" s="384">
        <f>H226/(SUM(K215:K217))</f>
        <v>0.32261533498225614</v>
      </c>
      <c r="E219" s="359"/>
      <c r="F219" s="360"/>
      <c r="G219" s="360"/>
      <c r="H219" s="367"/>
      <c r="I219" s="367"/>
      <c r="J219" s="368"/>
      <c r="K219" s="368"/>
    </row>
    <row r="220" spans="1:16" ht="63" x14ac:dyDescent="0.5">
      <c r="A220" t="s">
        <v>855</v>
      </c>
      <c r="B220" s="5">
        <f>H226/H225</f>
        <v>0.12222222222222222</v>
      </c>
      <c r="E220" s="374" t="s">
        <v>733</v>
      </c>
      <c r="F220" s="375">
        <f>SUM(F205:F218)</f>
        <v>24724000</v>
      </c>
      <c r="G220" s="376">
        <f>SUM(G205:G218)</f>
        <v>24534744</v>
      </c>
      <c r="H220" s="367"/>
      <c r="I220" s="377" t="s">
        <v>734</v>
      </c>
      <c r="J220" s="375">
        <f>SUM(J205:J219)</f>
        <v>21670100</v>
      </c>
      <c r="K220" s="376">
        <f>SUM(K205:K219)</f>
        <v>24345600</v>
      </c>
    </row>
    <row r="221" spans="1:16" x14ac:dyDescent="0.45">
      <c r="A221" t="s">
        <v>856</v>
      </c>
      <c r="B221">
        <f>H225/G220</f>
        <v>1.1004802006493322</v>
      </c>
    </row>
    <row r="222" spans="1:16" ht="16.149999999999999" thickBot="1" x14ac:dyDescent="0.55000000000000004">
      <c r="A222" t="s">
        <v>857</v>
      </c>
      <c r="B222">
        <f>G220/SUM(K215:K217)</f>
        <v>2.398571107352697</v>
      </c>
      <c r="E222" s="469" t="s">
        <v>854</v>
      </c>
      <c r="F222" s="468"/>
      <c r="G222" s="468"/>
      <c r="H222" s="468"/>
      <c r="I222" s="468"/>
      <c r="J222" s="468"/>
      <c r="K222" s="468"/>
      <c r="L222" s="468"/>
      <c r="M222" s="468"/>
      <c r="N222" s="468"/>
      <c r="O222" s="468"/>
      <c r="P222" s="468"/>
    </row>
    <row r="223" spans="1:16" ht="15.75" x14ac:dyDescent="0.5">
      <c r="A223" t="s">
        <v>858</v>
      </c>
      <c r="B223" s="384">
        <f>B220*B221*B222</f>
        <v>0.32261533498225614</v>
      </c>
      <c r="E223" s="470"/>
      <c r="F223" s="470"/>
      <c r="G223" s="470"/>
      <c r="H223" s="470"/>
      <c r="I223" s="378"/>
      <c r="J223" s="378"/>
      <c r="K223" s="379"/>
      <c r="L223" s="379"/>
      <c r="M223" s="379"/>
      <c r="N223" s="379"/>
      <c r="O223" s="379"/>
      <c r="P223" s="379"/>
    </row>
    <row r="224" spans="1:16" ht="15.75" x14ac:dyDescent="0.5">
      <c r="E224" s="380"/>
      <c r="F224" s="380"/>
      <c r="G224" s="381">
        <v>2022</v>
      </c>
      <c r="H224" s="381">
        <v>2023</v>
      </c>
      <c r="I224" s="382"/>
      <c r="J224" s="382"/>
      <c r="K224" s="379"/>
      <c r="L224" s="379"/>
      <c r="M224" s="379"/>
      <c r="N224" s="379"/>
      <c r="O224" s="379"/>
      <c r="P224" s="379"/>
    </row>
    <row r="225" spans="1:16" ht="15.75" x14ac:dyDescent="0.5">
      <c r="E225" s="379"/>
      <c r="F225" s="287" t="s">
        <v>83</v>
      </c>
      <c r="G225" s="383">
        <v>20000000</v>
      </c>
      <c r="H225" s="383">
        <v>27000000</v>
      </c>
      <c r="I225" s="379"/>
      <c r="J225" s="379"/>
      <c r="K225" s="379"/>
      <c r="L225" s="379"/>
      <c r="M225" s="379"/>
      <c r="N225" s="379"/>
      <c r="O225" s="379"/>
      <c r="P225" s="379"/>
    </row>
    <row r="226" spans="1:16" ht="15.75" x14ac:dyDescent="0.5">
      <c r="E226" s="379"/>
      <c r="F226" s="287" t="s">
        <v>273</v>
      </c>
      <c r="G226" s="383">
        <v>2000000</v>
      </c>
      <c r="H226" s="383">
        <v>3300000</v>
      </c>
      <c r="I226" s="379"/>
      <c r="J226" s="379"/>
      <c r="K226" s="379"/>
      <c r="L226" s="379"/>
      <c r="M226" s="379"/>
      <c r="N226" s="379"/>
      <c r="O226" s="379"/>
      <c r="P226" s="379"/>
    </row>
    <row r="228" spans="1:16" s="33" customFormat="1" x14ac:dyDescent="0.45">
      <c r="A228" s="34">
        <v>15</v>
      </c>
    </row>
    <row r="230" spans="1:16" x14ac:dyDescent="0.45">
      <c r="A230" t="s">
        <v>970</v>
      </c>
    </row>
    <row r="232" spans="1:16" x14ac:dyDescent="0.45">
      <c r="A232" t="s">
        <v>971</v>
      </c>
      <c r="B232" s="1">
        <v>176450</v>
      </c>
    </row>
    <row r="233" spans="1:16" x14ac:dyDescent="0.45">
      <c r="A233" t="s">
        <v>87</v>
      </c>
      <c r="B233" s="1">
        <v>45877</v>
      </c>
    </row>
    <row r="234" spans="1:16" x14ac:dyDescent="0.45">
      <c r="A234" t="s">
        <v>972</v>
      </c>
      <c r="B234" s="384">
        <f>B233/B232</f>
        <v>0.26</v>
      </c>
    </row>
    <row r="236" spans="1:16" x14ac:dyDescent="0.45">
      <c r="A236" t="s">
        <v>973</v>
      </c>
    </row>
    <row r="238" spans="1:16" x14ac:dyDescent="0.45">
      <c r="A238" t="s">
        <v>974</v>
      </c>
    </row>
    <row r="240" spans="1:16" x14ac:dyDescent="0.45">
      <c r="A240" t="s">
        <v>953</v>
      </c>
      <c r="B240" s="443">
        <v>44926</v>
      </c>
      <c r="C240" s="443">
        <v>45291</v>
      </c>
    </row>
    <row r="241" spans="1:4" x14ac:dyDescent="0.45">
      <c r="A241" t="s">
        <v>975</v>
      </c>
      <c r="B241" s="1">
        <v>1766440</v>
      </c>
      <c r="C241" s="1">
        <v>2370530</v>
      </c>
    </row>
    <row r="242" spans="1:4" x14ac:dyDescent="0.45">
      <c r="A242" t="s">
        <v>1002</v>
      </c>
      <c r="B242" s="1">
        <v>120000</v>
      </c>
      <c r="C242" s="1">
        <v>120000</v>
      </c>
    </row>
    <row r="243" spans="1:4" x14ac:dyDescent="0.45">
      <c r="A243" t="s">
        <v>976</v>
      </c>
      <c r="B243" s="1">
        <v>85000</v>
      </c>
      <c r="C243" s="1">
        <v>85000</v>
      </c>
    </row>
    <row r="244" spans="1:4" x14ac:dyDescent="0.45">
      <c r="A244" t="s">
        <v>977</v>
      </c>
      <c r="B244" s="1">
        <v>124660</v>
      </c>
      <c r="C244" s="1">
        <v>164233</v>
      </c>
    </row>
    <row r="245" spans="1:4" x14ac:dyDescent="0.45">
      <c r="A245" t="s">
        <v>978</v>
      </c>
      <c r="B245" s="1">
        <v>1766440</v>
      </c>
      <c r="C245" s="1">
        <v>2370530</v>
      </c>
    </row>
    <row r="246" spans="1:4" x14ac:dyDescent="0.45">
      <c r="A246" t="s">
        <v>979</v>
      </c>
      <c r="B246" s="1">
        <f>B245-B244-B243-B242</f>
        <v>1436780</v>
      </c>
      <c r="C246" s="1">
        <f>C245-C244-C243-C242</f>
        <v>2001297</v>
      </c>
      <c r="D246" t="s">
        <v>980</v>
      </c>
    </row>
    <row r="248" spans="1:4" x14ac:dyDescent="0.45">
      <c r="A248" t="s">
        <v>981</v>
      </c>
      <c r="B248" s="207">
        <f>B241/B246</f>
        <v>1.229443616976851</v>
      </c>
      <c r="C248" s="207">
        <f>C241/C246</f>
        <v>1.1844968537903169</v>
      </c>
    </row>
    <row r="250" spans="1:4" x14ac:dyDescent="0.45">
      <c r="A250" t="s">
        <v>995</v>
      </c>
    </row>
    <row r="251" spans="1:4" x14ac:dyDescent="0.45">
      <c r="B251" s="443">
        <v>44926</v>
      </c>
      <c r="C251" s="443">
        <v>45291</v>
      </c>
      <c r="D251" t="s">
        <v>1003</v>
      </c>
    </row>
    <row r="252" spans="1:4" x14ac:dyDescent="0.45">
      <c r="A252" t="s">
        <v>987</v>
      </c>
      <c r="B252" s="208">
        <v>36180</v>
      </c>
      <c r="C252" s="208">
        <v>56620</v>
      </c>
      <c r="D252" s="444">
        <f>C252-B252</f>
        <v>20440</v>
      </c>
    </row>
    <row r="253" spans="1:4" x14ac:dyDescent="0.45">
      <c r="A253" t="s">
        <v>954</v>
      </c>
      <c r="B253" s="208">
        <v>68800</v>
      </c>
      <c r="C253" s="208">
        <v>41800</v>
      </c>
      <c r="D253" s="444">
        <f t="shared" ref="D253:D274" si="3">C253-B253</f>
        <v>-27000</v>
      </c>
    </row>
    <row r="254" spans="1:4" x14ac:dyDescent="0.45">
      <c r="A254" t="s">
        <v>955</v>
      </c>
      <c r="B254" s="208">
        <v>5160</v>
      </c>
      <c r="C254" s="208">
        <v>7740</v>
      </c>
      <c r="D254" s="444">
        <f t="shared" si="3"/>
        <v>2580</v>
      </c>
    </row>
    <row r="255" spans="1:4" x14ac:dyDescent="0.45">
      <c r="A255" t="s">
        <v>988</v>
      </c>
      <c r="B255" s="208">
        <v>16200</v>
      </c>
      <c r="C255" s="208">
        <v>17300</v>
      </c>
      <c r="D255" s="444">
        <f t="shared" si="3"/>
        <v>1100</v>
      </c>
    </row>
    <row r="256" spans="1:4" x14ac:dyDescent="0.45">
      <c r="A256" t="s">
        <v>361</v>
      </c>
      <c r="B256" s="208">
        <v>2100</v>
      </c>
      <c r="C256" s="208">
        <v>101070</v>
      </c>
      <c r="D256" s="444">
        <f t="shared" si="3"/>
        <v>98970</v>
      </c>
    </row>
    <row r="257" spans="1:4" x14ac:dyDescent="0.45">
      <c r="A257" t="s">
        <v>989</v>
      </c>
      <c r="B257" s="208">
        <v>128440</v>
      </c>
      <c r="C257" s="208">
        <v>224530</v>
      </c>
      <c r="D257" s="444">
        <f t="shared" si="3"/>
        <v>96090</v>
      </c>
    </row>
    <row r="258" spans="1:4" x14ac:dyDescent="0.45">
      <c r="B258" s="208"/>
      <c r="C258" s="208"/>
      <c r="D258" s="5"/>
    </row>
    <row r="259" spans="1:4" x14ac:dyDescent="0.45">
      <c r="A259" t="s">
        <v>362</v>
      </c>
      <c r="B259" s="208">
        <v>580000</v>
      </c>
      <c r="C259" s="208">
        <v>580000</v>
      </c>
      <c r="D259" s="444">
        <f t="shared" si="3"/>
        <v>0</v>
      </c>
    </row>
    <row r="260" spans="1:4" x14ac:dyDescent="0.45">
      <c r="A260" t="s">
        <v>990</v>
      </c>
      <c r="B260" s="208">
        <v>-116000</v>
      </c>
      <c r="C260" s="208">
        <v>-232000</v>
      </c>
      <c r="D260" s="444">
        <f t="shared" si="3"/>
        <v>-116000</v>
      </c>
    </row>
    <row r="261" spans="1:4" x14ac:dyDescent="0.45">
      <c r="A261" t="s">
        <v>991</v>
      </c>
      <c r="B261" s="208">
        <v>920000</v>
      </c>
      <c r="C261" s="208">
        <v>1590000</v>
      </c>
      <c r="D261" s="444">
        <f t="shared" si="3"/>
        <v>670000</v>
      </c>
    </row>
    <row r="262" spans="1:4" x14ac:dyDescent="0.45">
      <c r="A262" t="s">
        <v>992</v>
      </c>
      <c r="B262" s="208">
        <v>-46000</v>
      </c>
      <c r="C262" s="208">
        <v>-92000</v>
      </c>
      <c r="D262" s="444">
        <f t="shared" si="3"/>
        <v>-46000</v>
      </c>
    </row>
    <row r="263" spans="1:4" x14ac:dyDescent="0.45">
      <c r="A263" t="s">
        <v>993</v>
      </c>
      <c r="B263" s="208">
        <v>300000</v>
      </c>
      <c r="C263" s="208">
        <v>300000</v>
      </c>
      <c r="D263" s="444">
        <f t="shared" si="3"/>
        <v>0</v>
      </c>
    </row>
    <row r="264" spans="1:4" x14ac:dyDescent="0.45">
      <c r="A264" t="s">
        <v>994</v>
      </c>
      <c r="B264" s="208">
        <v>1638000</v>
      </c>
      <c r="C264" s="208">
        <v>2146000</v>
      </c>
      <c r="D264" s="444">
        <f t="shared" si="3"/>
        <v>508000</v>
      </c>
    </row>
    <row r="265" spans="1:4" x14ac:dyDescent="0.45">
      <c r="B265" s="208"/>
      <c r="C265" s="208"/>
    </row>
    <row r="266" spans="1:4" x14ac:dyDescent="0.45">
      <c r="A266" t="s">
        <v>956</v>
      </c>
      <c r="B266" s="208">
        <v>15480</v>
      </c>
      <c r="C266" s="208">
        <v>10320</v>
      </c>
      <c r="D266" s="444">
        <f t="shared" si="3"/>
        <v>-5160</v>
      </c>
    </row>
    <row r="267" spans="1:4" x14ac:dyDescent="0.45">
      <c r="A267" t="s">
        <v>996</v>
      </c>
      <c r="B267" s="208">
        <v>2300</v>
      </c>
      <c r="C267" s="208">
        <v>4100</v>
      </c>
      <c r="D267" s="444">
        <f t="shared" si="3"/>
        <v>1800</v>
      </c>
    </row>
    <row r="268" spans="1:4" x14ac:dyDescent="0.45">
      <c r="A268" t="s">
        <v>997</v>
      </c>
      <c r="B268" s="208">
        <v>44000</v>
      </c>
      <c r="C268" s="208">
        <v>45877</v>
      </c>
      <c r="D268" s="444">
        <f t="shared" si="3"/>
        <v>1877</v>
      </c>
    </row>
    <row r="269" spans="1:4" x14ac:dyDescent="0.45">
      <c r="A269" t="s">
        <v>998</v>
      </c>
      <c r="B269" s="208">
        <v>125000</v>
      </c>
      <c r="C269" s="208">
        <v>125000</v>
      </c>
      <c r="D269" s="444">
        <f t="shared" si="3"/>
        <v>0</v>
      </c>
    </row>
    <row r="270" spans="1:4" x14ac:dyDescent="0.45">
      <c r="A270" t="s">
        <v>999</v>
      </c>
      <c r="B270" s="208">
        <v>0</v>
      </c>
      <c r="C270" s="208">
        <v>91000</v>
      </c>
      <c r="D270" s="444">
        <f t="shared" si="3"/>
        <v>91000</v>
      </c>
    </row>
    <row r="271" spans="1:4" x14ac:dyDescent="0.45">
      <c r="A271" t="s">
        <v>1000</v>
      </c>
      <c r="B271" s="208">
        <v>186780</v>
      </c>
      <c r="C271" s="208">
        <v>276297</v>
      </c>
      <c r="D271" s="444">
        <f t="shared" si="3"/>
        <v>89517</v>
      </c>
    </row>
    <row r="272" spans="1:4" x14ac:dyDescent="0.45">
      <c r="B272" s="208"/>
      <c r="C272" s="208"/>
    </row>
    <row r="273" spans="1:5" x14ac:dyDescent="0.45">
      <c r="A273" t="s">
        <v>1001</v>
      </c>
      <c r="B273" s="208">
        <v>1250000</v>
      </c>
      <c r="C273" s="208">
        <v>1725000</v>
      </c>
      <c r="D273" s="445">
        <f t="shared" si="3"/>
        <v>475000</v>
      </c>
    </row>
    <row r="274" spans="1:5" x14ac:dyDescent="0.45">
      <c r="A274" t="s">
        <v>1002</v>
      </c>
      <c r="B274" s="208">
        <v>120000</v>
      </c>
      <c r="C274" s="208">
        <v>120000</v>
      </c>
      <c r="D274" s="444">
        <f t="shared" si="3"/>
        <v>0</v>
      </c>
    </row>
    <row r="276" spans="1:5" x14ac:dyDescent="0.45">
      <c r="A276" s="463" t="s">
        <v>1004</v>
      </c>
      <c r="B276" s="463"/>
      <c r="C276" s="463"/>
      <c r="D276" s="463"/>
      <c r="E276" s="463"/>
    </row>
    <row r="277" spans="1:5" x14ac:dyDescent="0.45">
      <c r="A277" s="463"/>
      <c r="B277" s="463"/>
      <c r="C277" s="463"/>
      <c r="D277" s="463"/>
      <c r="E277" s="463"/>
    </row>
    <row r="278" spans="1:5" x14ac:dyDescent="0.45">
      <c r="A278" s="463"/>
      <c r="B278" s="463"/>
      <c r="C278" s="463"/>
      <c r="D278" s="463"/>
      <c r="E278" s="463"/>
    </row>
    <row r="279" spans="1:5" x14ac:dyDescent="0.45">
      <c r="A279" s="463"/>
      <c r="B279" s="463"/>
      <c r="C279" s="463"/>
      <c r="D279" s="463"/>
      <c r="E279" s="463"/>
    </row>
    <row r="280" spans="1:5" x14ac:dyDescent="0.45">
      <c r="A280" s="463"/>
      <c r="B280" s="463"/>
      <c r="C280" s="463"/>
      <c r="D280" s="463"/>
      <c r="E280" s="463"/>
    </row>
    <row r="281" spans="1:5" x14ac:dyDescent="0.45">
      <c r="A281" s="463"/>
      <c r="B281" s="463"/>
      <c r="C281" s="463"/>
      <c r="D281" s="463"/>
      <c r="E281" s="463"/>
    </row>
    <row r="285" spans="1:5" x14ac:dyDescent="0.45">
      <c r="A285" t="s">
        <v>982</v>
      </c>
    </row>
    <row r="286" spans="1:5" x14ac:dyDescent="0.45">
      <c r="A286" t="s">
        <v>983</v>
      </c>
    </row>
    <row r="287" spans="1:5" x14ac:dyDescent="0.45">
      <c r="A287" t="s">
        <v>984</v>
      </c>
    </row>
    <row r="289" spans="1:2" s="33" customFormat="1" x14ac:dyDescent="0.45">
      <c r="A289" s="34">
        <v>16</v>
      </c>
    </row>
    <row r="291" spans="1:2" x14ac:dyDescent="0.45">
      <c r="A291" t="s">
        <v>1086</v>
      </c>
    </row>
    <row r="293" spans="1:2" x14ac:dyDescent="0.45">
      <c r="A293" t="s">
        <v>1087</v>
      </c>
    </row>
    <row r="295" spans="1:2" x14ac:dyDescent="0.45">
      <c r="A295" t="s">
        <v>1088</v>
      </c>
    </row>
    <row r="297" spans="1:2" x14ac:dyDescent="0.45">
      <c r="A297" t="s">
        <v>1089</v>
      </c>
      <c r="B297" s="333">
        <f>(100+200+30)/(300+100+400+600+100)</f>
        <v>0.22</v>
      </c>
    </row>
    <row r="299" spans="1:2" x14ac:dyDescent="0.45">
      <c r="A299" t="s">
        <v>1090</v>
      </c>
    </row>
    <row r="301" spans="1:2" x14ac:dyDescent="0.45">
      <c r="A301" t="s">
        <v>1091</v>
      </c>
      <c r="B301" s="457">
        <f>80/200</f>
        <v>0.4</v>
      </c>
    </row>
    <row r="303" spans="1:2" x14ac:dyDescent="0.45">
      <c r="A303" t="s">
        <v>1092</v>
      </c>
    </row>
    <row r="305" spans="1:4" s="33" customFormat="1" x14ac:dyDescent="0.45">
      <c r="A305" s="34">
        <v>17</v>
      </c>
    </row>
    <row r="307" spans="1:4" x14ac:dyDescent="0.45">
      <c r="A307" t="s">
        <v>1110</v>
      </c>
    </row>
    <row r="309" spans="1:4" x14ac:dyDescent="0.45">
      <c r="A309" t="s">
        <v>1111</v>
      </c>
    </row>
    <row r="311" spans="1:4" x14ac:dyDescent="0.45">
      <c r="A311" s="16" t="s">
        <v>95</v>
      </c>
      <c r="B311" t="s">
        <v>1112</v>
      </c>
      <c r="C311" s="207">
        <f>5360/2100</f>
        <v>2.5523809523809522</v>
      </c>
    </row>
    <row r="313" spans="1:4" x14ac:dyDescent="0.45">
      <c r="A313" s="16" t="s">
        <v>180</v>
      </c>
      <c r="B313" t="s">
        <v>1113</v>
      </c>
      <c r="D313" s="457">
        <f>20/200</f>
        <v>0.1</v>
      </c>
    </row>
    <row r="315" spans="1:4" x14ac:dyDescent="0.45">
      <c r="A315" s="16" t="s">
        <v>254</v>
      </c>
      <c r="B315" t="s">
        <v>1114</v>
      </c>
    </row>
    <row r="316" spans="1:4" x14ac:dyDescent="0.45">
      <c r="A316" t="s">
        <v>1115</v>
      </c>
    </row>
    <row r="317" spans="1:4" x14ac:dyDescent="0.45">
      <c r="A317" t="s">
        <v>1116</v>
      </c>
    </row>
    <row r="318" spans="1:4" x14ac:dyDescent="0.45">
      <c r="A318" t="s">
        <v>1117</v>
      </c>
      <c r="B318" t="s">
        <v>1118</v>
      </c>
      <c r="C318" s="210">
        <f>20/40</f>
        <v>0.5</v>
      </c>
    </row>
    <row r="319" spans="1:4" x14ac:dyDescent="0.45">
      <c r="A319" t="s">
        <v>1119</v>
      </c>
    </row>
    <row r="320" spans="1:4" x14ac:dyDescent="0.45">
      <c r="A320" t="s">
        <v>1120</v>
      </c>
    </row>
    <row r="321" spans="1:2" x14ac:dyDescent="0.45">
      <c r="A321" t="s">
        <v>1121</v>
      </c>
      <c r="B321" s="333">
        <f>30-15</f>
        <v>15</v>
      </c>
    </row>
  </sheetData>
  <mergeCells count="20">
    <mergeCell ref="A178:B183"/>
    <mergeCell ref="A193:B196"/>
    <mergeCell ref="A2:D4"/>
    <mergeCell ref="F2:J4"/>
    <mergeCell ref="A24:G25"/>
    <mergeCell ref="A139:E145"/>
    <mergeCell ref="A155:E167"/>
    <mergeCell ref="A132:F135"/>
    <mergeCell ref="A31:H38"/>
    <mergeCell ref="A15:H19"/>
    <mergeCell ref="A105:E106"/>
    <mergeCell ref="A80:B80"/>
    <mergeCell ref="A102:E103"/>
    <mergeCell ref="A59:L61"/>
    <mergeCell ref="A211:C213"/>
    <mergeCell ref="E200:K201"/>
    <mergeCell ref="E222:P222"/>
    <mergeCell ref="E223:H223"/>
    <mergeCell ref="A276:E281"/>
    <mergeCell ref="A205:C209"/>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99"/>
  <sheetViews>
    <sheetView topLeftCell="A72" workbookViewId="0">
      <selection activeCell="B81" sqref="B81"/>
    </sheetView>
  </sheetViews>
  <sheetFormatPr defaultRowHeight="14.25" x14ac:dyDescent="0.45"/>
  <cols>
    <col min="1" max="1" width="21.265625" customWidth="1"/>
    <col min="2" max="2" width="33.19921875" bestFit="1" customWidth="1"/>
    <col min="3" max="3" width="18.265625" customWidth="1"/>
    <col min="4" max="4" width="21.796875" customWidth="1"/>
    <col min="5" max="5" width="18.19921875" customWidth="1"/>
    <col min="6" max="7" width="17.796875" bestFit="1" customWidth="1"/>
    <col min="8" max="8" width="17.53125" bestFit="1" customWidth="1"/>
    <col min="9" max="9" width="24.33203125" customWidth="1"/>
    <col min="10" max="10" width="18.796875" bestFit="1" customWidth="1"/>
    <col min="11" max="11" width="11.796875" bestFit="1" customWidth="1"/>
    <col min="12" max="12" width="22.46484375" bestFit="1" customWidth="1"/>
    <col min="13" max="15" width="10" bestFit="1" customWidth="1"/>
  </cols>
  <sheetData>
    <row r="1" spans="1:9" s="33" customFormat="1" x14ac:dyDescent="0.45">
      <c r="A1" s="34">
        <v>1</v>
      </c>
    </row>
    <row r="2" spans="1:9" ht="27.75" x14ac:dyDescent="0.45">
      <c r="A2" s="7" t="s">
        <v>97</v>
      </c>
      <c r="B2" s="487" t="s">
        <v>98</v>
      </c>
      <c r="C2" s="488"/>
      <c r="D2" s="8" t="s">
        <v>99</v>
      </c>
      <c r="E2" s="8" t="s">
        <v>100</v>
      </c>
      <c r="F2" s="9" t="s">
        <v>101</v>
      </c>
    </row>
    <row r="3" spans="1:9" ht="15.4" x14ac:dyDescent="0.45">
      <c r="A3" s="10"/>
      <c r="B3" s="487"/>
      <c r="C3" s="488"/>
      <c r="D3" s="11" t="s">
        <v>102</v>
      </c>
      <c r="E3" s="11" t="s">
        <v>103</v>
      </c>
      <c r="F3" s="11" t="s">
        <v>104</v>
      </c>
      <c r="H3" s="45" t="s">
        <v>105</v>
      </c>
      <c r="I3" s="17"/>
    </row>
    <row r="4" spans="1:9" ht="15.4" x14ac:dyDescent="0.45">
      <c r="A4" s="12" t="s">
        <v>106</v>
      </c>
      <c r="B4" s="13" t="s">
        <v>107</v>
      </c>
      <c r="C4" s="14"/>
      <c r="D4" s="12">
        <v>0</v>
      </c>
      <c r="E4" s="12">
        <v>98.41</v>
      </c>
      <c r="F4" s="12">
        <v>33.82</v>
      </c>
      <c r="H4" s="17">
        <f>D4+E4-F4</f>
        <v>64.59</v>
      </c>
      <c r="I4" s="17"/>
    </row>
    <row r="5" spans="1:9" ht="15.4" x14ac:dyDescent="0.45">
      <c r="A5" s="12" t="s">
        <v>108</v>
      </c>
      <c r="B5" s="13" t="s">
        <v>109</v>
      </c>
      <c r="C5" s="14"/>
      <c r="D5" s="12">
        <v>0</v>
      </c>
      <c r="E5" s="12">
        <v>81</v>
      </c>
      <c r="F5" s="12">
        <v>30.87</v>
      </c>
      <c r="H5" s="17">
        <f t="shared" ref="H5:H11" si="0">D5+E5-F5</f>
        <v>50.129999999999995</v>
      </c>
      <c r="I5" s="17"/>
    </row>
    <row r="6" spans="1:9" ht="15.4" x14ac:dyDescent="0.45">
      <c r="A6" s="12" t="s">
        <v>110</v>
      </c>
      <c r="B6" s="13" t="s">
        <v>111</v>
      </c>
      <c r="C6" s="14"/>
      <c r="D6" s="12">
        <v>3.31</v>
      </c>
      <c r="E6" s="12">
        <v>14.79</v>
      </c>
      <c r="F6" s="12">
        <v>42.83</v>
      </c>
      <c r="H6" s="43">
        <f t="shared" si="0"/>
        <v>-24.73</v>
      </c>
      <c r="I6" s="17" t="s">
        <v>112</v>
      </c>
    </row>
    <row r="7" spans="1:9" ht="15.4" x14ac:dyDescent="0.45">
      <c r="A7" s="12" t="s">
        <v>113</v>
      </c>
      <c r="B7" s="13" t="s">
        <v>114</v>
      </c>
      <c r="C7" s="14"/>
      <c r="D7" s="12">
        <v>2.46</v>
      </c>
      <c r="E7" s="12">
        <v>80.010000000000005</v>
      </c>
      <c r="F7" s="12">
        <v>23.78</v>
      </c>
      <c r="H7" s="17">
        <f t="shared" si="0"/>
        <v>58.69</v>
      </c>
      <c r="I7" s="17"/>
    </row>
    <row r="8" spans="1:9" ht="15.4" x14ac:dyDescent="0.45">
      <c r="A8" s="12" t="s">
        <v>115</v>
      </c>
      <c r="B8" s="13" t="s">
        <v>116</v>
      </c>
      <c r="C8" s="14"/>
      <c r="D8" s="12">
        <v>0</v>
      </c>
      <c r="E8" s="12">
        <v>77.010000000000005</v>
      </c>
      <c r="F8" s="12">
        <v>61.52</v>
      </c>
      <c r="H8" s="17">
        <f t="shared" si="0"/>
        <v>15.490000000000002</v>
      </c>
      <c r="I8" s="17"/>
    </row>
    <row r="9" spans="1:9" ht="15.4" x14ac:dyDescent="0.45">
      <c r="A9" s="12" t="s">
        <v>117</v>
      </c>
      <c r="B9" s="13" t="s">
        <v>118</v>
      </c>
      <c r="C9" s="14"/>
      <c r="D9" s="12">
        <v>0</v>
      </c>
      <c r="E9" s="12">
        <v>91.89</v>
      </c>
      <c r="F9" s="12">
        <v>18.809999999999999</v>
      </c>
      <c r="H9" s="17">
        <f t="shared" si="0"/>
        <v>73.08</v>
      </c>
      <c r="I9" s="17"/>
    </row>
    <row r="10" spans="1:9" ht="15.4" x14ac:dyDescent="0.45">
      <c r="A10" s="12" t="s">
        <v>119</v>
      </c>
      <c r="B10" s="13" t="s">
        <v>120</v>
      </c>
      <c r="C10" s="14"/>
      <c r="D10" s="12">
        <v>0</v>
      </c>
      <c r="E10" s="12">
        <v>5.01</v>
      </c>
      <c r="F10" s="12">
        <v>0</v>
      </c>
      <c r="H10" s="17">
        <f t="shared" si="0"/>
        <v>5.01</v>
      </c>
      <c r="I10" s="17"/>
    </row>
    <row r="11" spans="1:9" ht="15.4" x14ac:dyDescent="0.45">
      <c r="A11" s="12" t="s">
        <v>121</v>
      </c>
      <c r="B11" s="13" t="s">
        <v>122</v>
      </c>
      <c r="C11" s="14"/>
      <c r="D11" s="12">
        <v>3</v>
      </c>
      <c r="E11" s="12">
        <v>41.21</v>
      </c>
      <c r="F11" s="12">
        <v>17.14</v>
      </c>
      <c r="H11" s="17">
        <f t="shared" si="0"/>
        <v>27.07</v>
      </c>
      <c r="I11" s="17"/>
    </row>
    <row r="13" spans="1:9" x14ac:dyDescent="0.45">
      <c r="A13">
        <v>1</v>
      </c>
      <c r="B13" t="s">
        <v>123</v>
      </c>
    </row>
    <row r="15" spans="1:9" x14ac:dyDescent="0.45">
      <c r="A15">
        <v>2</v>
      </c>
      <c r="B15" t="s">
        <v>124</v>
      </c>
      <c r="C15" s="1">
        <f>F7</f>
        <v>23.78</v>
      </c>
    </row>
    <row r="16" spans="1:9" x14ac:dyDescent="0.45">
      <c r="B16" t="s">
        <v>125</v>
      </c>
      <c r="C16" s="15">
        <f>C15-3.78</f>
        <v>20</v>
      </c>
    </row>
    <row r="18" spans="1:3" x14ac:dyDescent="0.45">
      <c r="B18" t="s">
        <v>126</v>
      </c>
      <c r="C18" s="1">
        <v>12000000</v>
      </c>
    </row>
    <row r="19" spans="1:3" x14ac:dyDescent="0.45">
      <c r="B19" t="s">
        <v>127</v>
      </c>
      <c r="C19" s="16" t="s">
        <v>128</v>
      </c>
    </row>
    <row r="20" spans="1:3" x14ac:dyDescent="0.45">
      <c r="C20" s="16" t="s">
        <v>129</v>
      </c>
    </row>
    <row r="21" spans="1:3" x14ac:dyDescent="0.45">
      <c r="B21" t="s">
        <v>130</v>
      </c>
      <c r="C21" s="1">
        <f>12000000/23.78*365</f>
        <v>184188393.60807401</v>
      </c>
    </row>
    <row r="22" spans="1:3" x14ac:dyDescent="0.45">
      <c r="B22" t="s">
        <v>131</v>
      </c>
      <c r="C22">
        <f>C18/C21*365</f>
        <v>23.779999999999998</v>
      </c>
    </row>
    <row r="24" spans="1:3" x14ac:dyDescent="0.45">
      <c r="B24" t="s">
        <v>132</v>
      </c>
      <c r="C24" s="16" t="s">
        <v>133</v>
      </c>
    </row>
    <row r="25" spans="1:3" x14ac:dyDescent="0.45">
      <c r="C25" s="16" t="s">
        <v>134</v>
      </c>
    </row>
    <row r="26" spans="1:3" x14ac:dyDescent="0.45">
      <c r="B26" t="s">
        <v>135</v>
      </c>
      <c r="C26" s="1">
        <f>C16/365*C21</f>
        <v>10092514.71825063</v>
      </c>
    </row>
    <row r="28" spans="1:3" x14ac:dyDescent="0.45">
      <c r="B28" s="46" t="s">
        <v>136</v>
      </c>
      <c r="C28" s="47">
        <f>C18-C26</f>
        <v>1907485.2817493696</v>
      </c>
    </row>
    <row r="30" spans="1:3" s="33" customFormat="1" x14ac:dyDescent="0.45">
      <c r="A30" s="34">
        <v>2</v>
      </c>
    </row>
    <row r="32" spans="1:3" x14ac:dyDescent="0.45">
      <c r="A32">
        <v>2.1</v>
      </c>
      <c r="B32" t="s">
        <v>137</v>
      </c>
    </row>
    <row r="33" spans="1:3" x14ac:dyDescent="0.45">
      <c r="B33" t="s">
        <v>138</v>
      </c>
    </row>
    <row r="35" spans="1:3" x14ac:dyDescent="0.45">
      <c r="B35" t="s">
        <v>139</v>
      </c>
    </row>
    <row r="36" spans="1:3" x14ac:dyDescent="0.45">
      <c r="B36" t="s">
        <v>140</v>
      </c>
    </row>
    <row r="38" spans="1:3" x14ac:dyDescent="0.45">
      <c r="B38" s="16" t="s">
        <v>141</v>
      </c>
    </row>
    <row r="39" spans="1:3" x14ac:dyDescent="0.45">
      <c r="B39" s="16" t="s">
        <v>142</v>
      </c>
    </row>
    <row r="40" spans="1:3" x14ac:dyDescent="0.45">
      <c r="B40">
        <f>20*1095/365</f>
        <v>60</v>
      </c>
      <c r="C40" t="s">
        <v>143</v>
      </c>
    </row>
    <row r="41" spans="1:3" x14ac:dyDescent="0.45">
      <c r="B41">
        <f>200-60</f>
        <v>140</v>
      </c>
      <c r="C41" t="s">
        <v>144</v>
      </c>
    </row>
    <row r="42" spans="1:3" x14ac:dyDescent="0.45">
      <c r="B42">
        <f>140/5000*365</f>
        <v>10.220000000000001</v>
      </c>
      <c r="C42" t="s">
        <v>103</v>
      </c>
    </row>
    <row r="44" spans="1:3" x14ac:dyDescent="0.45">
      <c r="B44" s="25" t="s">
        <v>145</v>
      </c>
      <c r="C44" s="25">
        <f>B42+20</f>
        <v>30.22</v>
      </c>
    </row>
    <row r="46" spans="1:3" s="33" customFormat="1" x14ac:dyDescent="0.45">
      <c r="A46" s="34">
        <v>3</v>
      </c>
    </row>
    <row r="48" spans="1:3" x14ac:dyDescent="0.45">
      <c r="A48" t="s">
        <v>146</v>
      </c>
      <c r="B48" t="s">
        <v>147</v>
      </c>
      <c r="C48" t="s">
        <v>148</v>
      </c>
    </row>
    <row r="49" spans="1:10" x14ac:dyDescent="0.45">
      <c r="B49" t="s">
        <v>149</v>
      </c>
      <c r="C49">
        <f>(D51+C51)/2</f>
        <v>16000</v>
      </c>
    </row>
    <row r="51" spans="1:10" x14ac:dyDescent="0.45">
      <c r="B51" t="s">
        <v>150</v>
      </c>
      <c r="C51">
        <v>12000</v>
      </c>
      <c r="D51">
        <v>20000</v>
      </c>
    </row>
    <row r="53" spans="1:10" x14ac:dyDescent="0.45">
      <c r="B53" t="s">
        <v>147</v>
      </c>
      <c r="C53" s="6">
        <f>90000/C49</f>
        <v>5.625</v>
      </c>
      <c r="E53" s="17" t="s">
        <v>151</v>
      </c>
    </row>
    <row r="55" spans="1:10" x14ac:dyDescent="0.45">
      <c r="A55" t="s">
        <v>152</v>
      </c>
      <c r="B55" t="s">
        <v>153</v>
      </c>
    </row>
    <row r="57" spans="1:10" s="33" customFormat="1" x14ac:dyDescent="0.45">
      <c r="A57" s="34">
        <v>4</v>
      </c>
    </row>
    <row r="59" spans="1:10" x14ac:dyDescent="0.45">
      <c r="A59">
        <v>1</v>
      </c>
    </row>
    <row r="60" spans="1:10" x14ac:dyDescent="0.45">
      <c r="B60" t="s">
        <v>154</v>
      </c>
      <c r="C60" t="s">
        <v>155</v>
      </c>
      <c r="D60" t="s">
        <v>156</v>
      </c>
    </row>
    <row r="61" spans="1:10" x14ac:dyDescent="0.45">
      <c r="D61" s="44">
        <v>2020</v>
      </c>
      <c r="E61" t="s">
        <v>157</v>
      </c>
      <c r="H61" s="44">
        <v>2020</v>
      </c>
      <c r="I61" t="s">
        <v>158</v>
      </c>
      <c r="J61" s="35" t="s">
        <v>159</v>
      </c>
    </row>
    <row r="62" spans="1:10" x14ac:dyDescent="0.45">
      <c r="B62" t="s">
        <v>160</v>
      </c>
      <c r="C62" t="s">
        <v>13</v>
      </c>
      <c r="D62" s="1">
        <v>100000</v>
      </c>
      <c r="E62" s="1">
        <f>SUM(D62:D66)</f>
        <v>315000</v>
      </c>
      <c r="F62" t="s">
        <v>161</v>
      </c>
      <c r="G62" t="s">
        <v>62</v>
      </c>
      <c r="H62" s="1">
        <v>90000</v>
      </c>
      <c r="I62" s="1">
        <f>SUM(H62:H65)</f>
        <v>253000</v>
      </c>
      <c r="J62" s="48">
        <f>E62-I62</f>
        <v>62000</v>
      </c>
    </row>
    <row r="63" spans="1:10" x14ac:dyDescent="0.45">
      <c r="C63" t="s">
        <v>162</v>
      </c>
      <c r="D63" s="1">
        <v>20000</v>
      </c>
      <c r="G63" t="s">
        <v>163</v>
      </c>
      <c r="H63" s="1">
        <v>13000</v>
      </c>
    </row>
    <row r="64" spans="1:10" x14ac:dyDescent="0.45">
      <c r="C64" t="s">
        <v>144</v>
      </c>
      <c r="D64" s="1">
        <v>155000</v>
      </c>
      <c r="G64" t="s">
        <v>164</v>
      </c>
      <c r="H64" s="1">
        <v>30000</v>
      </c>
    </row>
    <row r="65" spans="1:14" x14ac:dyDescent="0.45">
      <c r="C65" t="s">
        <v>165</v>
      </c>
      <c r="D65" s="1">
        <v>20000</v>
      </c>
      <c r="G65" t="s">
        <v>166</v>
      </c>
      <c r="H65">
        <v>120000</v>
      </c>
    </row>
    <row r="66" spans="1:14" x14ac:dyDescent="0.45">
      <c r="C66" t="s">
        <v>167</v>
      </c>
      <c r="D66" s="1">
        <v>20000</v>
      </c>
    </row>
    <row r="68" spans="1:14" x14ac:dyDescent="0.45">
      <c r="A68">
        <v>2</v>
      </c>
      <c r="B68" t="s">
        <v>168</v>
      </c>
    </row>
    <row r="70" spans="1:14" x14ac:dyDescent="0.45">
      <c r="A70">
        <v>3</v>
      </c>
      <c r="B70" t="s">
        <v>169</v>
      </c>
    </row>
    <row r="74" spans="1:14" s="33" customFormat="1" x14ac:dyDescent="0.45">
      <c r="A74" s="34">
        <v>5</v>
      </c>
    </row>
    <row r="75" spans="1:14" x14ac:dyDescent="0.45">
      <c r="D75" s="162"/>
      <c r="E75" s="162"/>
      <c r="F75" s="162"/>
      <c r="G75" s="162"/>
      <c r="H75" s="162"/>
      <c r="I75" s="179"/>
      <c r="J75" s="162"/>
      <c r="K75" s="162"/>
      <c r="L75" s="162"/>
      <c r="M75" s="162"/>
      <c r="N75" s="162"/>
    </row>
    <row r="76" spans="1:14" x14ac:dyDescent="0.45">
      <c r="A76" s="1" t="s">
        <v>170</v>
      </c>
      <c r="B76" s="1"/>
      <c r="C76" s="1"/>
      <c r="D76" s="163"/>
      <c r="E76" s="162"/>
      <c r="F76" s="162"/>
      <c r="G76" s="162"/>
      <c r="H76" s="162"/>
      <c r="I76" s="179"/>
      <c r="J76" s="162"/>
      <c r="K76" s="162"/>
      <c r="L76" s="162"/>
      <c r="M76" s="162"/>
      <c r="N76" s="162"/>
    </row>
    <row r="77" spans="1:14" ht="15.75" x14ac:dyDescent="0.5">
      <c r="A77" s="1" t="s">
        <v>102</v>
      </c>
      <c r="B77" s="1">
        <f>H80/G83*365</f>
        <v>80.217741587171886</v>
      </c>
      <c r="C77" s="1"/>
      <c r="D77" s="163"/>
      <c r="E77" s="164" t="s">
        <v>171</v>
      </c>
      <c r="F77" s="162"/>
      <c r="G77" s="162"/>
      <c r="H77" s="162"/>
      <c r="I77" s="179"/>
      <c r="J77" s="172"/>
      <c r="K77" s="173">
        <v>2021</v>
      </c>
      <c r="L77" s="173"/>
      <c r="M77" s="173">
        <v>2021</v>
      </c>
      <c r="N77" s="162"/>
    </row>
    <row r="78" spans="1:14" ht="15.75" x14ac:dyDescent="0.5">
      <c r="A78" s="1" t="s">
        <v>103</v>
      </c>
      <c r="B78" s="1">
        <f>H79/G82*365</f>
        <v>57.106484232896342</v>
      </c>
      <c r="C78" s="1" t="s">
        <v>172</v>
      </c>
      <c r="D78" s="163"/>
      <c r="E78" s="162"/>
      <c r="F78" s="173">
        <v>2020</v>
      </c>
      <c r="G78" s="173">
        <v>2021</v>
      </c>
      <c r="H78" s="162" t="s">
        <v>173</v>
      </c>
      <c r="I78" s="179"/>
      <c r="J78" s="174" t="s">
        <v>4</v>
      </c>
      <c r="K78" s="175"/>
      <c r="L78" s="176" t="s">
        <v>60</v>
      </c>
      <c r="M78" s="175"/>
      <c r="N78" s="162"/>
    </row>
    <row r="79" spans="1:14" x14ac:dyDescent="0.45">
      <c r="A79" s="1" t="s">
        <v>104</v>
      </c>
      <c r="B79" s="36">
        <f>H81/G83*365</f>
        <v>21.584357446657826</v>
      </c>
      <c r="C79" s="1">
        <f>B79-2</f>
        <v>19.584357446657826</v>
      </c>
      <c r="D79" s="163"/>
      <c r="E79" s="163" t="s">
        <v>16</v>
      </c>
      <c r="F79" s="163">
        <v>4470618</v>
      </c>
      <c r="G79" s="163">
        <v>4427526</v>
      </c>
      <c r="H79" s="163">
        <f>(F79+G79)/2</f>
        <v>4449072</v>
      </c>
      <c r="I79" s="179"/>
      <c r="J79" s="175" t="s">
        <v>61</v>
      </c>
      <c r="K79" s="177"/>
      <c r="L79" s="177"/>
      <c r="M79" s="177"/>
      <c r="N79" s="162"/>
    </row>
    <row r="80" spans="1:14" x14ac:dyDescent="0.45">
      <c r="A80" s="1" t="s">
        <v>94</v>
      </c>
      <c r="B80" s="1"/>
      <c r="C80" s="1"/>
      <c r="D80" s="163"/>
      <c r="E80" s="163" t="s">
        <v>18</v>
      </c>
      <c r="F80" s="163">
        <v>3272506</v>
      </c>
      <c r="G80" s="163">
        <v>3281447</v>
      </c>
      <c r="H80" s="163">
        <f t="shared" ref="H80:H81" si="1">(F80+G80)/2</f>
        <v>3276976.5</v>
      </c>
      <c r="I80" s="179"/>
      <c r="J80" s="175" t="s">
        <v>13</v>
      </c>
      <c r="K80" s="177">
        <v>3743092</v>
      </c>
      <c r="L80" s="177" t="s">
        <v>62</v>
      </c>
      <c r="M80" s="177">
        <v>877832</v>
      </c>
      <c r="N80" s="162"/>
    </row>
    <row r="81" spans="1:14" x14ac:dyDescent="0.45">
      <c r="A81" s="1" t="s">
        <v>105</v>
      </c>
      <c r="B81" s="36">
        <f>B77+B78-B79</f>
        <v>115.73986837341039</v>
      </c>
      <c r="C81" s="1"/>
      <c r="D81" s="163"/>
      <c r="E81" s="163" t="s">
        <v>62</v>
      </c>
      <c r="F81" s="163">
        <v>885654</v>
      </c>
      <c r="G81" s="163">
        <v>877832</v>
      </c>
      <c r="H81" s="163">
        <f t="shared" si="1"/>
        <v>881743</v>
      </c>
      <c r="I81" s="179"/>
      <c r="J81" s="175" t="s">
        <v>16</v>
      </c>
      <c r="K81" s="177">
        <v>4427526</v>
      </c>
      <c r="L81" s="177" t="s">
        <v>63</v>
      </c>
      <c r="M81" s="177">
        <v>646156</v>
      </c>
      <c r="N81" s="162"/>
    </row>
    <row r="82" spans="1:14" x14ac:dyDescent="0.45">
      <c r="A82" s="1" t="s">
        <v>95</v>
      </c>
      <c r="B82" s="1"/>
      <c r="C82" s="1"/>
      <c r="D82" s="163"/>
      <c r="E82" s="163" t="s">
        <v>96</v>
      </c>
      <c r="F82" s="163"/>
      <c r="G82" s="163">
        <v>28436548</v>
      </c>
      <c r="H82" s="162"/>
      <c r="I82" s="179"/>
      <c r="J82" s="175" t="s">
        <v>17</v>
      </c>
      <c r="K82" s="177">
        <v>91059</v>
      </c>
      <c r="L82" s="177" t="s">
        <v>174</v>
      </c>
      <c r="M82" s="177">
        <v>946528</v>
      </c>
      <c r="N82" s="162"/>
    </row>
    <row r="83" spans="1:14" x14ac:dyDescent="0.45">
      <c r="A83" s="1" t="s">
        <v>175</v>
      </c>
      <c r="B83" s="1"/>
      <c r="C83" s="20" t="s">
        <v>176</v>
      </c>
      <c r="D83" s="163"/>
      <c r="E83" s="163" t="s">
        <v>130</v>
      </c>
      <c r="F83" s="163"/>
      <c r="G83" s="163">
        <v>14910622</v>
      </c>
      <c r="H83" s="162"/>
      <c r="I83" s="179"/>
      <c r="J83" s="175" t="s">
        <v>18</v>
      </c>
      <c r="K83" s="177">
        <v>3281447</v>
      </c>
      <c r="L83" s="177" t="s">
        <v>65</v>
      </c>
      <c r="M83" s="177">
        <v>602694</v>
      </c>
      <c r="N83" s="162"/>
    </row>
    <row r="84" spans="1:14" x14ac:dyDescent="0.45">
      <c r="C84" s="16" t="s">
        <v>177</v>
      </c>
      <c r="I84" s="162"/>
      <c r="J84" s="175" t="s">
        <v>19</v>
      </c>
      <c r="K84" s="177">
        <v>461249</v>
      </c>
      <c r="L84" s="177" t="s">
        <v>67</v>
      </c>
      <c r="M84" s="177">
        <v>220938</v>
      </c>
      <c r="N84" s="162"/>
    </row>
    <row r="85" spans="1:14" x14ac:dyDescent="0.45">
      <c r="C85" s="21">
        <f>C79*G83/365</f>
        <v>800040.96164383565</v>
      </c>
      <c r="D85" s="16" t="s">
        <v>178</v>
      </c>
      <c r="E85" s="25" t="s">
        <v>179</v>
      </c>
      <c r="F85" s="25"/>
      <c r="G85" s="26">
        <f>K86-C85-M81-M82-M83-M84</f>
        <v>9008179.0383561645</v>
      </c>
      <c r="I85" s="162"/>
      <c r="J85" s="175" t="s">
        <v>20</v>
      </c>
      <c r="K85" s="177">
        <v>220163</v>
      </c>
      <c r="L85" s="177" t="s">
        <v>69</v>
      </c>
      <c r="M85" s="177">
        <f>SUM(M80:M84)</f>
        <v>3294148</v>
      </c>
      <c r="N85" s="162"/>
    </row>
    <row r="86" spans="1:14" x14ac:dyDescent="0.45">
      <c r="A86" s="19" t="s">
        <v>180</v>
      </c>
      <c r="I86" s="162"/>
      <c r="J86" s="175" t="s">
        <v>21</v>
      </c>
      <c r="K86" s="178">
        <f>SUM(K80:K85)</f>
        <v>12224536</v>
      </c>
      <c r="L86" s="177"/>
      <c r="M86" s="177"/>
      <c r="N86" s="162"/>
    </row>
    <row r="87" spans="1:14" x14ac:dyDescent="0.45">
      <c r="A87" s="19" t="s">
        <v>181</v>
      </c>
      <c r="I87" s="162"/>
      <c r="J87" s="162"/>
      <c r="K87" s="162"/>
      <c r="L87" s="162"/>
      <c r="M87" s="162"/>
      <c r="N87" s="162"/>
    </row>
    <row r="89" spans="1:14" s="33" customFormat="1" x14ac:dyDescent="0.45">
      <c r="A89" s="34">
        <v>6</v>
      </c>
    </row>
    <row r="90" spans="1:14" x14ac:dyDescent="0.45">
      <c r="G90" s="167">
        <v>2020</v>
      </c>
      <c r="H90" s="168">
        <v>2021</v>
      </c>
      <c r="I90" t="s">
        <v>173</v>
      </c>
    </row>
    <row r="91" spans="1:14" x14ac:dyDescent="0.45">
      <c r="A91" s="49">
        <v>1</v>
      </c>
      <c r="B91" t="s">
        <v>102</v>
      </c>
      <c r="C91" s="1">
        <f>I92/H97*365</f>
        <v>12.283653846153845</v>
      </c>
      <c r="F91" s="165" t="s">
        <v>182</v>
      </c>
      <c r="G91" s="166">
        <v>65000</v>
      </c>
      <c r="H91" s="166">
        <v>30000</v>
      </c>
      <c r="I91" s="1">
        <f>(G91+H91)/2</f>
        <v>47500</v>
      </c>
    </row>
    <row r="92" spans="1:14" x14ac:dyDescent="0.45">
      <c r="B92" t="s">
        <v>103</v>
      </c>
      <c r="C92" s="1">
        <f>I91/H96*365</f>
        <v>6.4212962962962967</v>
      </c>
      <c r="F92" s="165" t="s">
        <v>165</v>
      </c>
      <c r="G92" s="166">
        <v>15000</v>
      </c>
      <c r="H92" s="171">
        <v>20000</v>
      </c>
      <c r="I92" s="1">
        <f>(G92+H92)/2</f>
        <v>17500</v>
      </c>
    </row>
    <row r="93" spans="1:14" x14ac:dyDescent="0.45">
      <c r="B93" t="s">
        <v>104</v>
      </c>
      <c r="C93" s="1">
        <f>I93/H97*365</f>
        <v>4.9134615384615383</v>
      </c>
      <c r="F93" s="165" t="s">
        <v>62</v>
      </c>
      <c r="G93" s="169">
        <v>1000</v>
      </c>
      <c r="H93" s="166">
        <v>13000</v>
      </c>
      <c r="I93" s="163">
        <f>(G93+H93)/2</f>
        <v>7000</v>
      </c>
      <c r="J93" s="162"/>
    </row>
    <row r="94" spans="1:14" x14ac:dyDescent="0.45">
      <c r="B94" s="17" t="s">
        <v>105</v>
      </c>
      <c r="C94" s="18">
        <f>C91+C92-C93</f>
        <v>13.791488603988602</v>
      </c>
      <c r="F94" s="162"/>
      <c r="G94" s="170"/>
      <c r="H94" s="162"/>
      <c r="I94" s="162"/>
      <c r="J94" s="162"/>
    </row>
    <row r="95" spans="1:14" x14ac:dyDescent="0.45">
      <c r="F95" s="162"/>
      <c r="G95" s="170"/>
      <c r="H95" s="162"/>
      <c r="I95" s="162"/>
      <c r="J95" s="162"/>
    </row>
    <row r="96" spans="1:14" ht="14.55" customHeight="1" x14ac:dyDescent="0.45">
      <c r="A96" s="49">
        <v>2</v>
      </c>
      <c r="B96" s="465" t="s">
        <v>183</v>
      </c>
      <c r="C96" s="465"/>
      <c r="D96" s="465"/>
      <c r="E96" s="465"/>
      <c r="F96" s="162" t="s">
        <v>96</v>
      </c>
      <c r="G96" s="170"/>
      <c r="H96" s="166">
        <v>2700000</v>
      </c>
      <c r="I96" s="166"/>
      <c r="J96" s="162"/>
    </row>
    <row r="97" spans="1:10" x14ac:dyDescent="0.45">
      <c r="B97" s="465"/>
      <c r="C97" s="465"/>
      <c r="D97" s="465"/>
      <c r="E97" s="465"/>
      <c r="F97" s="162" t="s">
        <v>184</v>
      </c>
      <c r="G97" s="170"/>
      <c r="H97" s="166">
        <v>520000</v>
      </c>
      <c r="I97" s="162"/>
      <c r="J97" s="162"/>
    </row>
    <row r="98" spans="1:10" x14ac:dyDescent="0.45">
      <c r="B98" s="465"/>
      <c r="C98" s="465"/>
      <c r="D98" s="465"/>
      <c r="E98" s="465"/>
      <c r="F98" s="162"/>
      <c r="G98" s="170"/>
      <c r="H98" s="162"/>
      <c r="I98" s="162"/>
      <c r="J98" s="162"/>
    </row>
    <row r="99" spans="1:10" x14ac:dyDescent="0.45">
      <c r="B99" s="465"/>
      <c r="C99" s="465"/>
      <c r="D99" s="465"/>
      <c r="E99" s="465"/>
      <c r="F99" s="162"/>
      <c r="G99" s="170"/>
      <c r="H99" s="162"/>
      <c r="I99" s="162"/>
      <c r="J99" s="162"/>
    </row>
    <row r="100" spans="1:10" x14ac:dyDescent="0.45">
      <c r="B100" s="465"/>
      <c r="C100" s="465"/>
      <c r="D100" s="465"/>
      <c r="E100" s="465"/>
      <c r="F100" s="162"/>
      <c r="G100" s="170"/>
      <c r="H100" s="162"/>
      <c r="I100" s="162"/>
      <c r="J100" s="162"/>
    </row>
    <row r="101" spans="1:10" x14ac:dyDescent="0.45">
      <c r="B101" s="465"/>
      <c r="C101" s="465"/>
      <c r="D101" s="465"/>
      <c r="E101" s="465"/>
    </row>
    <row r="102" spans="1:10" x14ac:dyDescent="0.45">
      <c r="B102" s="465"/>
      <c r="C102" s="465"/>
      <c r="D102" s="465"/>
      <c r="E102" s="465"/>
    </row>
    <row r="103" spans="1:10" s="33" customFormat="1" x14ac:dyDescent="0.45">
      <c r="A103" s="34">
        <v>7</v>
      </c>
    </row>
    <row r="104" spans="1:10" x14ac:dyDescent="0.45">
      <c r="A104" s="50" t="s">
        <v>185</v>
      </c>
      <c r="B104" s="75"/>
      <c r="C104" s="75">
        <v>2020</v>
      </c>
      <c r="D104" s="75">
        <v>2021</v>
      </c>
      <c r="E104" s="50" t="s">
        <v>186</v>
      </c>
    </row>
    <row r="105" spans="1:10" x14ac:dyDescent="0.45">
      <c r="B105" s="76" t="s">
        <v>13</v>
      </c>
      <c r="C105" s="77">
        <v>100000</v>
      </c>
      <c r="D105" s="77">
        <v>294600</v>
      </c>
      <c r="E105" s="83">
        <f>(D105-C105)/C105</f>
        <v>1.946</v>
      </c>
      <c r="F105" t="s">
        <v>187</v>
      </c>
    </row>
    <row r="106" spans="1:10" x14ac:dyDescent="0.45">
      <c r="B106" s="76" t="s">
        <v>162</v>
      </c>
      <c r="C106" s="77">
        <v>20000</v>
      </c>
      <c r="D106" s="77">
        <v>10000</v>
      </c>
      <c r="E106" s="83">
        <f>(D106-C106)/C106</f>
        <v>-0.5</v>
      </c>
      <c r="F106" t="s">
        <v>188</v>
      </c>
    </row>
    <row r="107" spans="1:10" x14ac:dyDescent="0.45">
      <c r="B107" s="76" t="s">
        <v>182</v>
      </c>
      <c r="C107" s="77">
        <v>155000</v>
      </c>
      <c r="D107" s="77">
        <v>170000</v>
      </c>
      <c r="E107" s="80">
        <f>(D107-C107)/C107</f>
        <v>9.6774193548387094E-2</v>
      </c>
    </row>
    <row r="108" spans="1:10" x14ac:dyDescent="0.45">
      <c r="B108" s="76" t="s">
        <v>165</v>
      </c>
      <c r="C108" s="77">
        <v>20000</v>
      </c>
      <c r="D108" s="77">
        <v>12000</v>
      </c>
      <c r="E108" s="83">
        <f>(D108-C108)/C108</f>
        <v>-0.4</v>
      </c>
      <c r="F108" t="s">
        <v>189</v>
      </c>
    </row>
    <row r="109" spans="1:10" x14ac:dyDescent="0.45">
      <c r="B109" s="76" t="s">
        <v>167</v>
      </c>
      <c r="C109" s="77">
        <v>20000</v>
      </c>
      <c r="D109" s="77">
        <v>25000</v>
      </c>
      <c r="E109" s="80">
        <f>(D109-C109)/C109</f>
        <v>0.25</v>
      </c>
    </row>
    <row r="110" spans="1:10" x14ac:dyDescent="0.45">
      <c r="B110" s="50"/>
      <c r="C110" s="84"/>
      <c r="D110" s="84"/>
      <c r="E110" s="80"/>
    </row>
    <row r="111" spans="1:10" x14ac:dyDescent="0.45">
      <c r="B111" s="50" t="s">
        <v>61</v>
      </c>
      <c r="C111" s="84">
        <f>SUM(C105,C106,C107,C108,C109)</f>
        <v>315000</v>
      </c>
      <c r="D111" s="84">
        <f>SUM(D105,D106,D107,D108,D109)</f>
        <v>511600</v>
      </c>
      <c r="E111" s="80">
        <f>(D111-C111)/C111</f>
        <v>0.62412698412698409</v>
      </c>
    </row>
    <row r="112" spans="1:10" x14ac:dyDescent="0.45">
      <c r="B112" s="50"/>
      <c r="C112" s="84"/>
      <c r="D112" s="84"/>
      <c r="E112" s="80"/>
    </row>
    <row r="113" spans="1:8" x14ac:dyDescent="0.45">
      <c r="B113" s="76" t="s">
        <v>62</v>
      </c>
      <c r="C113" s="77">
        <v>90000</v>
      </c>
      <c r="D113" s="77">
        <v>120000</v>
      </c>
      <c r="E113" s="80">
        <f>(D113-C113)/C113</f>
        <v>0.33333333333333331</v>
      </c>
    </row>
    <row r="114" spans="1:8" x14ac:dyDescent="0.45">
      <c r="B114" s="76" t="s">
        <v>163</v>
      </c>
      <c r="C114" s="77">
        <v>13000</v>
      </c>
      <c r="D114" s="77">
        <v>12000</v>
      </c>
      <c r="E114" s="80">
        <f>(D114-C114)/C114</f>
        <v>-7.6923076923076927E-2</v>
      </c>
    </row>
    <row r="115" spans="1:8" x14ac:dyDescent="0.45">
      <c r="B115" s="76" t="s">
        <v>164</v>
      </c>
      <c r="C115" s="77">
        <v>30000</v>
      </c>
      <c r="D115" s="77">
        <v>40000</v>
      </c>
      <c r="E115" s="80">
        <f>(D115-C115)/C115</f>
        <v>0.33333333333333331</v>
      </c>
    </row>
    <row r="116" spans="1:8" x14ac:dyDescent="0.45">
      <c r="B116" s="76" t="s">
        <v>166</v>
      </c>
      <c r="C116" s="77">
        <v>120000</v>
      </c>
      <c r="D116" s="77">
        <v>150000</v>
      </c>
      <c r="E116" s="80">
        <f>(D116-C116)/C116</f>
        <v>0.25</v>
      </c>
    </row>
    <row r="117" spans="1:8" x14ac:dyDescent="0.45">
      <c r="B117" s="50"/>
      <c r="C117" s="84"/>
      <c r="D117" s="84"/>
      <c r="E117" s="80"/>
    </row>
    <row r="118" spans="1:8" x14ac:dyDescent="0.45">
      <c r="B118" s="50" t="s">
        <v>190</v>
      </c>
      <c r="C118" s="84">
        <f>SUM(C113,C114,C115,C116)</f>
        <v>253000</v>
      </c>
      <c r="D118" s="84">
        <f>SUM(D113,D114,D115,D116)</f>
        <v>322000</v>
      </c>
      <c r="E118" s="80">
        <f>(D118-C118)/C118</f>
        <v>0.27272727272727271</v>
      </c>
    </row>
    <row r="119" spans="1:8" x14ac:dyDescent="0.45">
      <c r="B119" s="50"/>
      <c r="C119" s="84"/>
      <c r="D119" s="84"/>
      <c r="E119" s="80"/>
    </row>
    <row r="120" spans="1:8" x14ac:dyDescent="0.45">
      <c r="B120" s="78" t="s">
        <v>191</v>
      </c>
      <c r="C120" s="85">
        <f>SUM(C111-C118)</f>
        <v>62000</v>
      </c>
      <c r="D120" s="85">
        <f>SUM(D111-D118)</f>
        <v>189600</v>
      </c>
      <c r="E120" s="80"/>
    </row>
    <row r="121" spans="1:8" x14ac:dyDescent="0.45">
      <c r="B121" s="78" t="s">
        <v>192</v>
      </c>
      <c r="C121" s="79">
        <f>(D120-C120)</f>
        <v>127600</v>
      </c>
      <c r="D121" s="86">
        <f>(D120-C120)/C120</f>
        <v>2.0580645161290323</v>
      </c>
      <c r="E121" s="50"/>
    </row>
    <row r="122" spans="1:8" x14ac:dyDescent="0.45">
      <c r="B122" s="81"/>
      <c r="C122" s="81"/>
      <c r="D122" s="81"/>
      <c r="E122" s="81"/>
    </row>
    <row r="123" spans="1:8" s="33" customFormat="1" x14ac:dyDescent="0.45">
      <c r="A123" s="34">
        <v>8</v>
      </c>
    </row>
    <row r="125" spans="1:8" x14ac:dyDescent="0.45">
      <c r="A125" s="464" t="s">
        <v>193</v>
      </c>
      <c r="B125" s="464"/>
      <c r="C125" s="464"/>
      <c r="D125" s="464"/>
      <c r="E125" s="464"/>
      <c r="F125" s="464"/>
      <c r="G125" s="485" t="s">
        <v>194</v>
      </c>
      <c r="H125" s="485"/>
    </row>
    <row r="126" spans="1:8" x14ac:dyDescent="0.45">
      <c r="A126" s="464"/>
      <c r="B126" s="464"/>
      <c r="C126" s="464"/>
      <c r="D126" s="464"/>
      <c r="E126" s="464"/>
      <c r="F126" s="464"/>
      <c r="G126" s="485"/>
      <c r="H126" s="485"/>
    </row>
    <row r="127" spans="1:8" x14ac:dyDescent="0.45">
      <c r="A127" s="464"/>
      <c r="B127" s="464"/>
      <c r="C127" s="464"/>
      <c r="D127" s="464"/>
      <c r="E127" s="464"/>
      <c r="F127" s="464"/>
      <c r="G127" s="485"/>
      <c r="H127" s="485"/>
    </row>
    <row r="128" spans="1:8" x14ac:dyDescent="0.45">
      <c r="A128" s="464"/>
      <c r="B128" s="464"/>
      <c r="C128" s="464"/>
      <c r="D128" s="464"/>
      <c r="E128" s="464"/>
      <c r="F128" s="464"/>
      <c r="G128" s="485"/>
      <c r="H128" s="485"/>
    </row>
    <row r="130" spans="1:7" ht="14.55" customHeight="1" x14ac:dyDescent="0.45">
      <c r="A130" s="464" t="s">
        <v>195</v>
      </c>
      <c r="B130" s="464"/>
      <c r="C130" s="464"/>
      <c r="D130" s="464"/>
      <c r="E130" s="464"/>
      <c r="F130" s="464"/>
    </row>
    <row r="131" spans="1:7" x14ac:dyDescent="0.45">
      <c r="A131" s="464"/>
      <c r="B131" s="464"/>
      <c r="C131" s="464"/>
      <c r="D131" s="464"/>
      <c r="E131" s="464"/>
      <c r="F131" s="464"/>
    </row>
    <row r="132" spans="1:7" x14ac:dyDescent="0.45">
      <c r="A132" s="464"/>
      <c r="B132" s="464"/>
      <c r="C132" s="464"/>
      <c r="D132" s="464"/>
      <c r="E132" s="464"/>
      <c r="F132" s="464"/>
    </row>
    <row r="133" spans="1:7" x14ac:dyDescent="0.45">
      <c r="A133" s="82"/>
      <c r="B133" s="82"/>
      <c r="C133" s="82"/>
      <c r="D133" s="82"/>
      <c r="E133" s="82"/>
      <c r="F133" s="82"/>
    </row>
    <row r="134" spans="1:7" x14ac:dyDescent="0.45">
      <c r="A134" s="464" t="s">
        <v>196</v>
      </c>
      <c r="B134" s="464"/>
      <c r="C134" s="464"/>
      <c r="D134" s="464"/>
      <c r="E134" s="464"/>
      <c r="F134" s="464"/>
      <c r="G134" s="484" t="s">
        <v>197</v>
      </c>
    </row>
    <row r="135" spans="1:7" x14ac:dyDescent="0.45">
      <c r="A135" s="464"/>
      <c r="B135" s="464"/>
      <c r="C135" s="464"/>
      <c r="D135" s="464"/>
      <c r="E135" s="464"/>
      <c r="F135" s="464"/>
      <c r="G135" s="484"/>
    </row>
    <row r="136" spans="1:7" x14ac:dyDescent="0.45">
      <c r="A136" s="464" t="s">
        <v>198</v>
      </c>
      <c r="B136" s="464"/>
      <c r="C136" s="464"/>
      <c r="D136" s="464"/>
      <c r="E136" s="464"/>
      <c r="F136" s="464"/>
      <c r="G136" s="484"/>
    </row>
    <row r="137" spans="1:7" x14ac:dyDescent="0.45">
      <c r="A137" s="464"/>
      <c r="B137" s="464"/>
      <c r="C137" s="464"/>
      <c r="D137" s="464"/>
      <c r="E137" s="464"/>
      <c r="F137" s="464"/>
      <c r="G137" s="484"/>
    </row>
    <row r="138" spans="1:7" x14ac:dyDescent="0.45">
      <c r="A138" s="464" t="s">
        <v>199</v>
      </c>
      <c r="B138" s="464"/>
      <c r="C138" s="464"/>
      <c r="D138" s="464"/>
      <c r="E138" s="464"/>
      <c r="F138" s="464"/>
      <c r="G138" s="484"/>
    </row>
    <row r="139" spans="1:7" x14ac:dyDescent="0.45">
      <c r="A139" s="464"/>
      <c r="B139" s="464"/>
      <c r="C139" s="464"/>
      <c r="D139" s="464"/>
      <c r="E139" s="464"/>
      <c r="F139" s="464"/>
      <c r="G139" s="484"/>
    </row>
    <row r="141" spans="1:7" s="33" customFormat="1" x14ac:dyDescent="0.45">
      <c r="A141" s="34">
        <v>9</v>
      </c>
    </row>
    <row r="142" spans="1:7" ht="14.55" customHeight="1" x14ac:dyDescent="0.45">
      <c r="A142" s="464" t="s">
        <v>200</v>
      </c>
      <c r="B142" s="464"/>
      <c r="C142" s="464"/>
      <c r="D142" s="464"/>
      <c r="E142" s="464"/>
    </row>
    <row r="143" spans="1:7" ht="14.55" customHeight="1" x14ac:dyDescent="0.45">
      <c r="A143" s="464"/>
      <c r="B143" s="464"/>
      <c r="C143" s="464"/>
      <c r="D143" s="464"/>
      <c r="E143" s="464"/>
    </row>
    <row r="144" spans="1:7" ht="14.55" customHeight="1" x14ac:dyDescent="0.45">
      <c r="A144" s="464"/>
      <c r="B144" s="464"/>
      <c r="C144" s="464"/>
      <c r="D144" s="464"/>
      <c r="E144" s="464"/>
    </row>
    <row r="145" spans="1:5" ht="14.55" customHeight="1" x14ac:dyDescent="0.45">
      <c r="A145" s="464"/>
      <c r="B145" s="464"/>
      <c r="C145" s="464"/>
      <c r="D145" s="464"/>
      <c r="E145" s="464"/>
    </row>
    <row r="146" spans="1:5" ht="14.55" customHeight="1" x14ac:dyDescent="0.45">
      <c r="A146" s="464"/>
      <c r="B146" s="464"/>
      <c r="C146" s="464"/>
      <c r="D146" s="464"/>
      <c r="E146" s="464"/>
    </row>
    <row r="147" spans="1:5" ht="14.55" customHeight="1" x14ac:dyDescent="0.45">
      <c r="A147" s="464"/>
      <c r="B147" s="464"/>
      <c r="C147" s="464"/>
      <c r="D147" s="464"/>
      <c r="E147" s="464"/>
    </row>
    <row r="148" spans="1:5" ht="14.55" customHeight="1" x14ac:dyDescent="0.45">
      <c r="A148" s="464"/>
      <c r="B148" s="464"/>
      <c r="C148" s="464"/>
      <c r="D148" s="464"/>
      <c r="E148" s="464"/>
    </row>
    <row r="149" spans="1:5" ht="14.55" customHeight="1" x14ac:dyDescent="0.45">
      <c r="A149" s="464" t="s">
        <v>201</v>
      </c>
      <c r="B149" s="464"/>
      <c r="C149" s="464"/>
      <c r="D149" s="464"/>
      <c r="E149" s="464"/>
    </row>
    <row r="150" spans="1:5" x14ac:dyDescent="0.45">
      <c r="A150" s="464"/>
      <c r="B150" s="464"/>
      <c r="C150" s="464"/>
      <c r="D150" s="464"/>
      <c r="E150" s="464"/>
    </row>
    <row r="151" spans="1:5" x14ac:dyDescent="0.45">
      <c r="A151" s="464"/>
      <c r="B151" s="464"/>
      <c r="C151" s="464"/>
      <c r="D151" s="464"/>
      <c r="E151" s="464"/>
    </row>
    <row r="152" spans="1:5" x14ac:dyDescent="0.45">
      <c r="A152" s="464"/>
      <c r="B152" s="464"/>
      <c r="C152" s="464"/>
      <c r="D152" s="464"/>
      <c r="E152" s="464"/>
    </row>
    <row r="153" spans="1:5" x14ac:dyDescent="0.45">
      <c r="A153" s="464"/>
      <c r="B153" s="464"/>
      <c r="C153" s="464"/>
      <c r="D153" s="464"/>
      <c r="E153" s="464"/>
    </row>
    <row r="155" spans="1:5" s="33" customFormat="1" x14ac:dyDescent="0.45">
      <c r="A155" s="34">
        <v>10</v>
      </c>
    </row>
    <row r="157" spans="1:5" ht="15.75" x14ac:dyDescent="0.5">
      <c r="A157" s="87" t="s">
        <v>202</v>
      </c>
      <c r="B157" s="100"/>
      <c r="C157" s="88"/>
      <c r="D157" s="88"/>
      <c r="E157" s="88"/>
    </row>
    <row r="158" spans="1:5" x14ac:dyDescent="0.45">
      <c r="A158" s="89"/>
      <c r="B158" s="90"/>
      <c r="C158" s="91" t="s">
        <v>203</v>
      </c>
      <c r="D158" s="101" t="s">
        <v>204</v>
      </c>
      <c r="E158" s="102">
        <v>2020</v>
      </c>
    </row>
    <row r="159" spans="1:5" x14ac:dyDescent="0.45">
      <c r="A159" s="92" t="s">
        <v>205</v>
      </c>
      <c r="B159" s="93"/>
      <c r="C159" s="93">
        <v>80000</v>
      </c>
      <c r="D159" s="103" t="s">
        <v>206</v>
      </c>
      <c r="E159" s="103"/>
    </row>
    <row r="160" spans="1:5" x14ac:dyDescent="0.45">
      <c r="A160" s="92" t="s">
        <v>207</v>
      </c>
      <c r="B160" s="93"/>
      <c r="C160" s="93"/>
      <c r="D160" s="103"/>
      <c r="E160" s="103">
        <v>17</v>
      </c>
    </row>
    <row r="161" spans="1:5" x14ac:dyDescent="0.45">
      <c r="A161" s="92" t="s">
        <v>208</v>
      </c>
      <c r="B161" s="93"/>
      <c r="C161" s="93"/>
      <c r="D161" s="103"/>
      <c r="E161" s="103">
        <v>1695000</v>
      </c>
    </row>
    <row r="162" spans="1:5" x14ac:dyDescent="0.45">
      <c r="A162" s="92" t="s">
        <v>209</v>
      </c>
      <c r="B162" s="92"/>
      <c r="C162" s="92"/>
      <c r="D162" s="92"/>
      <c r="E162" s="103">
        <v>5000</v>
      </c>
    </row>
    <row r="163" spans="1:5" x14ac:dyDescent="0.45">
      <c r="A163" s="106" t="s">
        <v>170</v>
      </c>
      <c r="B163" s="92"/>
      <c r="C163" s="92"/>
      <c r="D163" s="92"/>
      <c r="E163" s="103"/>
    </row>
    <row r="164" spans="1:5" x14ac:dyDescent="0.45">
      <c r="A164" t="s">
        <v>147</v>
      </c>
      <c r="B164" t="s">
        <v>210</v>
      </c>
    </row>
    <row r="165" spans="1:5" x14ac:dyDescent="0.45">
      <c r="A165" t="s">
        <v>211</v>
      </c>
    </row>
    <row r="166" spans="1:5" x14ac:dyDescent="0.45">
      <c r="A166" t="s">
        <v>212</v>
      </c>
    </row>
    <row r="167" spans="1:5" x14ac:dyDescent="0.45">
      <c r="A167" t="s">
        <v>213</v>
      </c>
      <c r="B167" t="s">
        <v>214</v>
      </c>
      <c r="C167" s="104">
        <f>E161/E160</f>
        <v>99705.882352941175</v>
      </c>
      <c r="D167" t="s">
        <v>215</v>
      </c>
    </row>
    <row r="168" spans="1:5" x14ac:dyDescent="0.45">
      <c r="A168" t="s">
        <v>216</v>
      </c>
      <c r="B168" s="104">
        <f>C167</f>
        <v>99705.882352941175</v>
      </c>
    </row>
    <row r="169" spans="1:5" x14ac:dyDescent="0.45">
      <c r="A169" t="s">
        <v>217</v>
      </c>
      <c r="B169" s="104">
        <f>B168*2</f>
        <v>199411.76470588235</v>
      </c>
    </row>
    <row r="170" spans="1:5" x14ac:dyDescent="0.45">
      <c r="A170" t="s">
        <v>218</v>
      </c>
      <c r="B170" s="105">
        <f>B169-80000</f>
        <v>119411.76470588235</v>
      </c>
    </row>
    <row r="171" spans="1:5" x14ac:dyDescent="0.45">
      <c r="A171" t="s">
        <v>94</v>
      </c>
    </row>
    <row r="173" spans="1:5" x14ac:dyDescent="0.45">
      <c r="A173" t="s">
        <v>219</v>
      </c>
    </row>
    <row r="174" spans="1:5" x14ac:dyDescent="0.45">
      <c r="A174" t="s">
        <v>220</v>
      </c>
    </row>
    <row r="175" spans="1:5" x14ac:dyDescent="0.45">
      <c r="A175" t="s">
        <v>221</v>
      </c>
    </row>
    <row r="177" spans="1:12" s="33" customFormat="1" x14ac:dyDescent="0.45">
      <c r="A177" s="34">
        <v>11</v>
      </c>
    </row>
    <row r="179" spans="1:12" ht="15.75" x14ac:dyDescent="0.5">
      <c r="A179" s="87" t="s">
        <v>222</v>
      </c>
      <c r="B179" s="100"/>
      <c r="C179" s="88"/>
      <c r="D179" s="88"/>
      <c r="E179" s="88"/>
      <c r="F179" s="88"/>
      <c r="G179" s="88"/>
      <c r="H179" s="88"/>
      <c r="I179" s="88"/>
      <c r="J179" s="88"/>
      <c r="K179" s="88"/>
      <c r="L179" s="88"/>
    </row>
    <row r="180" spans="1:12" ht="15.75" x14ac:dyDescent="0.5">
      <c r="A180" s="107" t="s">
        <v>223</v>
      </c>
      <c r="B180" s="88"/>
      <c r="C180" s="108" t="s">
        <v>224</v>
      </c>
      <c r="D180" s="108" t="s">
        <v>225</v>
      </c>
      <c r="E180" s="108" t="s">
        <v>226</v>
      </c>
      <c r="F180" s="109" t="s">
        <v>227</v>
      </c>
      <c r="G180" s="110"/>
      <c r="H180" s="107" t="s">
        <v>228</v>
      </c>
      <c r="I180" s="111">
        <v>2015</v>
      </c>
      <c r="J180" s="111">
        <v>2016</v>
      </c>
      <c r="K180" s="111">
        <v>2017</v>
      </c>
      <c r="L180" s="88"/>
    </row>
    <row r="181" spans="1:12" ht="15.75" x14ac:dyDescent="0.5">
      <c r="A181" s="88" t="s">
        <v>144</v>
      </c>
      <c r="B181" s="88"/>
      <c r="C181" s="112">
        <v>125000</v>
      </c>
      <c r="D181" s="112">
        <v>150000</v>
      </c>
      <c r="E181" s="112">
        <v>180000</v>
      </c>
      <c r="F181" s="112">
        <v>216000</v>
      </c>
      <c r="G181" s="113"/>
      <c r="H181" s="113" t="s">
        <v>229</v>
      </c>
      <c r="I181" s="88">
        <v>30</v>
      </c>
      <c r="J181" s="88">
        <v>55</v>
      </c>
      <c r="K181" s="88">
        <v>60</v>
      </c>
      <c r="L181" s="88"/>
    </row>
    <row r="182" spans="1:12" ht="15.75" x14ac:dyDescent="0.5">
      <c r="A182" s="88" t="s">
        <v>18</v>
      </c>
      <c r="B182" s="88"/>
      <c r="C182" s="112">
        <v>10000</v>
      </c>
      <c r="D182" s="112">
        <v>10500</v>
      </c>
      <c r="E182" s="112">
        <v>11025</v>
      </c>
      <c r="F182" s="112">
        <v>11576</v>
      </c>
      <c r="G182" s="113"/>
      <c r="H182" s="113" t="s">
        <v>230</v>
      </c>
      <c r="I182" s="88">
        <v>26</v>
      </c>
      <c r="J182" s="88">
        <v>20</v>
      </c>
      <c r="K182" s="88">
        <v>15</v>
      </c>
      <c r="L182" s="88"/>
    </row>
    <row r="183" spans="1:12" ht="15.75" x14ac:dyDescent="0.5">
      <c r="A183" s="88" t="s">
        <v>231</v>
      </c>
      <c r="B183" s="88"/>
      <c r="C183" s="112">
        <v>30000</v>
      </c>
      <c r="D183" s="112">
        <v>25100</v>
      </c>
      <c r="E183" s="112">
        <v>23332</v>
      </c>
      <c r="F183" s="112">
        <v>22332</v>
      </c>
      <c r="G183" s="113"/>
      <c r="H183" s="113" t="s">
        <v>232</v>
      </c>
      <c r="I183" s="88">
        <v>50</v>
      </c>
      <c r="J183" s="88">
        <v>45</v>
      </c>
      <c r="K183" s="88">
        <v>44</v>
      </c>
      <c r="L183" s="88"/>
    </row>
    <row r="184" spans="1:12" ht="15.75" x14ac:dyDescent="0.5">
      <c r="A184" s="88"/>
      <c r="B184" s="88"/>
      <c r="C184" s="114"/>
      <c r="D184" s="114"/>
      <c r="E184" s="114"/>
      <c r="F184" s="114"/>
      <c r="G184" s="88"/>
      <c r="H184" s="88"/>
      <c r="I184" s="88"/>
      <c r="J184" s="88"/>
      <c r="K184" s="88"/>
      <c r="L184" s="88"/>
    </row>
    <row r="185" spans="1:12" x14ac:dyDescent="0.45">
      <c r="A185" t="s">
        <v>93</v>
      </c>
      <c r="B185" s="17" t="s">
        <v>233</v>
      </c>
    </row>
    <row r="186" spans="1:12" x14ac:dyDescent="0.45">
      <c r="B186" t="s">
        <v>234</v>
      </c>
    </row>
    <row r="187" spans="1:12" x14ac:dyDescent="0.45">
      <c r="B187" t="s">
        <v>235</v>
      </c>
    </row>
    <row r="188" spans="1:12" x14ac:dyDescent="0.45">
      <c r="B188" t="s">
        <v>236</v>
      </c>
      <c r="C188" s="104">
        <f>(C181+D181)/2</f>
        <v>137500</v>
      </c>
    </row>
    <row r="189" spans="1:12" x14ac:dyDescent="0.45">
      <c r="B189" t="s">
        <v>237</v>
      </c>
      <c r="C189" s="104"/>
    </row>
    <row r="190" spans="1:12" x14ac:dyDescent="0.45">
      <c r="B190" t="s">
        <v>238</v>
      </c>
      <c r="C190" s="104">
        <f>30/365</f>
        <v>8.2191780821917804E-2</v>
      </c>
    </row>
    <row r="191" spans="1:12" x14ac:dyDescent="0.45">
      <c r="B191" t="s">
        <v>239</v>
      </c>
      <c r="C191" s="104">
        <f>C188/C190</f>
        <v>1672916.6666666667</v>
      </c>
      <c r="D191" t="s">
        <v>240</v>
      </c>
    </row>
    <row r="192" spans="1:12" x14ac:dyDescent="0.45">
      <c r="B192" t="s">
        <v>241</v>
      </c>
      <c r="C192" s="120">
        <f>C191/50%</f>
        <v>3345833.3333333335</v>
      </c>
    </row>
    <row r="193" spans="1:7" x14ac:dyDescent="0.45">
      <c r="A193" t="s">
        <v>94</v>
      </c>
      <c r="B193" t="s">
        <v>242</v>
      </c>
    </row>
    <row r="194" spans="1:7" x14ac:dyDescent="0.45">
      <c r="B194" t="s">
        <v>243</v>
      </c>
    </row>
    <row r="195" spans="1:7" x14ac:dyDescent="0.45">
      <c r="B195" t="s">
        <v>244</v>
      </c>
    </row>
    <row r="197" spans="1:7" x14ac:dyDescent="0.45">
      <c r="B197" t="s">
        <v>245</v>
      </c>
      <c r="C197" s="121"/>
      <c r="D197" s="57"/>
      <c r="E197" t="s">
        <v>246</v>
      </c>
    </row>
    <row r="198" spans="1:7" x14ac:dyDescent="0.45">
      <c r="B198" s="104">
        <f>(E182+D182)/2</f>
        <v>10762.5</v>
      </c>
      <c r="C198" s="121"/>
      <c r="D198" s="57"/>
      <c r="E198" s="104">
        <f>(E183+D183)/2</f>
        <v>24216</v>
      </c>
    </row>
    <row r="199" spans="1:7" x14ac:dyDescent="0.45">
      <c r="B199" t="s">
        <v>247</v>
      </c>
      <c r="C199" s="121"/>
      <c r="D199" s="57"/>
      <c r="E199" t="s">
        <v>248</v>
      </c>
    </row>
    <row r="200" spans="1:7" x14ac:dyDescent="0.45">
      <c r="B200" t="s">
        <v>249</v>
      </c>
      <c r="C200" s="122">
        <f>20/365</f>
        <v>5.4794520547945202E-2</v>
      </c>
      <c r="D200" s="57"/>
      <c r="E200" t="s">
        <v>250</v>
      </c>
      <c r="G200" s="104">
        <f>45/365</f>
        <v>0.12328767123287671</v>
      </c>
    </row>
    <row r="201" spans="1:7" x14ac:dyDescent="0.45">
      <c r="B201" t="s">
        <v>239</v>
      </c>
      <c r="C201" s="123">
        <f>B198/C200</f>
        <v>196415.625</v>
      </c>
      <c r="D201" s="57"/>
      <c r="E201" t="s">
        <v>251</v>
      </c>
      <c r="F201" s="120">
        <f>E198/G200</f>
        <v>196418.66666666669</v>
      </c>
    </row>
    <row r="203" spans="1:7" x14ac:dyDescent="0.45">
      <c r="B203" s="31" t="s">
        <v>252</v>
      </c>
    </row>
    <row r="205" spans="1:7" x14ac:dyDescent="0.45">
      <c r="A205" t="s">
        <v>95</v>
      </c>
      <c r="B205" t="s">
        <v>105</v>
      </c>
    </row>
    <row r="206" spans="1:7" x14ac:dyDescent="0.45">
      <c r="B206">
        <v>2015</v>
      </c>
      <c r="C206">
        <v>2016</v>
      </c>
      <c r="D206">
        <v>2017</v>
      </c>
    </row>
    <row r="207" spans="1:7" x14ac:dyDescent="0.45">
      <c r="B207">
        <f>I181+I182-I183</f>
        <v>6</v>
      </c>
      <c r="C207">
        <f t="shared" ref="C207:D207" si="2">J181+J182-J183</f>
        <v>30</v>
      </c>
      <c r="D207" s="115">
        <f t="shared" si="2"/>
        <v>31</v>
      </c>
    </row>
    <row r="208" spans="1:7" x14ac:dyDescent="0.45">
      <c r="A208" t="s">
        <v>180</v>
      </c>
      <c r="B208" t="s">
        <v>253</v>
      </c>
    </row>
    <row r="210" spans="1:9" x14ac:dyDescent="0.45">
      <c r="A210" t="s">
        <v>254</v>
      </c>
      <c r="B210" s="462" t="s">
        <v>255</v>
      </c>
      <c r="C210" s="462"/>
      <c r="D210" s="462"/>
      <c r="E210" s="462"/>
      <c r="F210" s="462"/>
      <c r="G210" s="462"/>
      <c r="H210" s="462"/>
      <c r="I210" s="462"/>
    </row>
    <row r="211" spans="1:9" ht="14.55" customHeight="1" x14ac:dyDescent="0.45">
      <c r="B211" s="462"/>
      <c r="C211" s="462"/>
      <c r="D211" s="462"/>
      <c r="E211" s="462"/>
      <c r="F211" s="462"/>
      <c r="G211" s="462"/>
      <c r="H211" s="462"/>
      <c r="I211" s="462"/>
    </row>
    <row r="212" spans="1:9" ht="14.55" customHeight="1" x14ac:dyDescent="0.45">
      <c r="B212" s="462"/>
      <c r="C212" s="462"/>
      <c r="D212" s="462"/>
      <c r="E212" s="462"/>
      <c r="F212" s="462"/>
      <c r="G212" s="462"/>
      <c r="H212" s="462"/>
      <c r="I212" s="462"/>
    </row>
    <row r="213" spans="1:9" ht="14.55" customHeight="1" x14ac:dyDescent="0.45">
      <c r="B213" s="462"/>
      <c r="C213" s="462"/>
      <c r="D213" s="462"/>
      <c r="E213" s="462"/>
      <c r="F213" s="462"/>
      <c r="G213" s="462"/>
      <c r="H213" s="462"/>
      <c r="I213" s="462"/>
    </row>
    <row r="214" spans="1:9" ht="14.55" customHeight="1" x14ac:dyDescent="0.45">
      <c r="B214" s="462"/>
      <c r="C214" s="462"/>
      <c r="D214" s="462"/>
      <c r="E214" s="462"/>
      <c r="F214" s="462"/>
      <c r="G214" s="462"/>
      <c r="H214" s="462"/>
      <c r="I214" s="462"/>
    </row>
    <row r="216" spans="1:9" ht="14.55" customHeight="1" x14ac:dyDescent="0.45">
      <c r="A216" t="s">
        <v>256</v>
      </c>
      <c r="B216" s="472" t="s">
        <v>257</v>
      </c>
      <c r="C216" s="472"/>
      <c r="D216" s="472"/>
      <c r="E216" s="472"/>
      <c r="F216" s="472"/>
      <c r="G216" s="472"/>
      <c r="H216" s="472"/>
      <c r="I216" s="472"/>
    </row>
    <row r="217" spans="1:9" ht="14.55" customHeight="1" x14ac:dyDescent="0.45">
      <c r="B217" s="472"/>
      <c r="C217" s="472"/>
      <c r="D217" s="472"/>
      <c r="E217" s="472"/>
      <c r="F217" s="472"/>
      <c r="G217" s="472"/>
      <c r="H217" s="472"/>
      <c r="I217" s="472"/>
    </row>
    <row r="218" spans="1:9" ht="14.55" customHeight="1" x14ac:dyDescent="0.45">
      <c r="B218" s="472"/>
      <c r="C218" s="472"/>
      <c r="D218" s="472"/>
      <c r="E218" s="472"/>
      <c r="F218" s="472"/>
      <c r="G218" s="472"/>
      <c r="H218" s="472"/>
      <c r="I218" s="472"/>
    </row>
    <row r="219" spans="1:9" ht="14.55" customHeight="1" x14ac:dyDescent="0.45">
      <c r="B219" s="472"/>
      <c r="C219" s="472"/>
      <c r="D219" s="472"/>
      <c r="E219" s="472"/>
      <c r="F219" s="472"/>
      <c r="G219" s="472"/>
      <c r="H219" s="472"/>
      <c r="I219" s="472"/>
    </row>
    <row r="220" spans="1:9" ht="14.55" customHeight="1" x14ac:dyDescent="0.45">
      <c r="B220" s="472"/>
      <c r="C220" s="472"/>
      <c r="D220" s="472"/>
      <c r="E220" s="472"/>
      <c r="F220" s="472"/>
      <c r="G220" s="472"/>
      <c r="H220" s="472"/>
      <c r="I220" s="472"/>
    </row>
    <row r="222" spans="1:9" s="33" customFormat="1" x14ac:dyDescent="0.45">
      <c r="A222" s="34">
        <v>12</v>
      </c>
    </row>
    <row r="223" spans="1:9" x14ac:dyDescent="0.45">
      <c r="A223" s="157">
        <v>5.0999999999999996</v>
      </c>
      <c r="B223" s="157"/>
      <c r="C223" s="157"/>
      <c r="D223" s="157"/>
      <c r="E223" s="157"/>
      <c r="F223" s="157"/>
      <c r="G223" s="157"/>
    </row>
    <row r="224" spans="1:9" x14ac:dyDescent="0.45">
      <c r="A224" s="158"/>
      <c r="B224" s="158" t="s">
        <v>103</v>
      </c>
      <c r="C224" s="158"/>
      <c r="D224" s="158" t="s">
        <v>102</v>
      </c>
      <c r="E224" s="158"/>
      <c r="F224" s="158" t="s">
        <v>104</v>
      </c>
      <c r="G224" s="157"/>
    </row>
    <row r="225" spans="1:7" x14ac:dyDescent="0.45">
      <c r="A225" s="486" t="s">
        <v>258</v>
      </c>
      <c r="B225" s="158">
        <f>(B248+C248)/2</f>
        <v>4150000</v>
      </c>
      <c r="C225" s="158"/>
      <c r="D225" s="158">
        <f>(B250+C250)/2</f>
        <v>3125000</v>
      </c>
      <c r="E225" s="158"/>
      <c r="F225" s="158">
        <f>(E247+F247)/2</f>
        <v>850000</v>
      </c>
      <c r="G225" s="157"/>
    </row>
    <row r="226" spans="1:7" x14ac:dyDescent="0.45">
      <c r="A226" s="486"/>
      <c r="B226" s="158"/>
      <c r="C226" s="158"/>
      <c r="D226" s="158"/>
      <c r="E226" s="158"/>
      <c r="F226" s="158"/>
      <c r="G226" s="157"/>
    </row>
    <row r="227" spans="1:7" x14ac:dyDescent="0.45">
      <c r="A227" s="157"/>
      <c r="B227" s="157"/>
      <c r="C227" s="157"/>
      <c r="D227" s="157"/>
      <c r="E227" s="157"/>
      <c r="F227" s="157"/>
      <c r="G227" s="157"/>
    </row>
    <row r="228" spans="1:7" ht="29.2" customHeight="1" x14ac:dyDescent="0.45">
      <c r="A228" s="486" t="s">
        <v>259</v>
      </c>
      <c r="B228" s="158">
        <f>B225/B241</f>
        <v>0.25</v>
      </c>
      <c r="C228" s="158"/>
      <c r="D228" s="158">
        <f>D225/C241</f>
        <v>0.67934782608695654</v>
      </c>
      <c r="E228" s="158"/>
      <c r="F228" s="158">
        <f>F225/C241</f>
        <v>0.18478260869565216</v>
      </c>
      <c r="G228" s="157"/>
    </row>
    <row r="229" spans="1:7" x14ac:dyDescent="0.45">
      <c r="A229" s="486"/>
      <c r="B229" s="158"/>
      <c r="C229" s="158"/>
      <c r="D229" s="158"/>
      <c r="E229" s="158"/>
      <c r="F229" s="158"/>
      <c r="G229" s="157"/>
    </row>
    <row r="230" spans="1:7" x14ac:dyDescent="0.45">
      <c r="A230" s="157"/>
      <c r="B230" s="159">
        <f>B228*365</f>
        <v>91.25</v>
      </c>
      <c r="C230" s="158"/>
      <c r="D230" s="159">
        <f>D228*365</f>
        <v>247.96195652173913</v>
      </c>
      <c r="E230" s="158"/>
      <c r="F230" s="159">
        <f>F228*365</f>
        <v>67.445652173913032</v>
      </c>
      <c r="G230" s="157"/>
    </row>
    <row r="231" spans="1:7" x14ac:dyDescent="0.45">
      <c r="A231" s="157"/>
      <c r="B231" s="157"/>
      <c r="C231" s="157"/>
      <c r="D231" s="158"/>
      <c r="E231" s="158"/>
      <c r="F231" s="157"/>
      <c r="G231" s="157"/>
    </row>
    <row r="232" spans="1:7" x14ac:dyDescent="0.45">
      <c r="A232" s="157"/>
      <c r="B232" s="157"/>
      <c r="C232" s="157"/>
      <c r="D232" s="158"/>
      <c r="E232" s="158"/>
      <c r="F232" s="158"/>
      <c r="G232" s="157"/>
    </row>
    <row r="233" spans="1:7" x14ac:dyDescent="0.45">
      <c r="A233" s="157"/>
      <c r="B233" s="157"/>
      <c r="C233" s="157"/>
      <c r="D233" s="158"/>
      <c r="E233" s="159" t="s">
        <v>105</v>
      </c>
      <c r="F233" s="158"/>
      <c r="G233" s="157"/>
    </row>
    <row r="234" spans="1:7" x14ac:dyDescent="0.45">
      <c r="A234" s="157"/>
      <c r="B234" s="157"/>
      <c r="C234" s="157"/>
      <c r="D234" s="158">
        <f>D230+B230</f>
        <v>339.21195652173913</v>
      </c>
      <c r="E234" s="159">
        <f>D234-F230</f>
        <v>271.76630434782612</v>
      </c>
      <c r="F234" s="158"/>
      <c r="G234" s="157"/>
    </row>
    <row r="235" spans="1:7" x14ac:dyDescent="0.45">
      <c r="A235" s="157"/>
      <c r="B235" s="157"/>
      <c r="C235" s="157"/>
      <c r="D235" s="157"/>
      <c r="E235" s="157"/>
      <c r="F235" s="157"/>
      <c r="G235" s="157"/>
    </row>
    <row r="236" spans="1:7" x14ac:dyDescent="0.45">
      <c r="A236" s="24" t="s">
        <v>260</v>
      </c>
      <c r="B236" s="24"/>
      <c r="C236" s="24"/>
      <c r="D236" s="24"/>
    </row>
    <row r="237" spans="1:7" ht="15.75" x14ac:dyDescent="0.5">
      <c r="A237" s="24"/>
      <c r="B237" s="154" t="s">
        <v>83</v>
      </c>
      <c r="C237" s="154" t="s">
        <v>84</v>
      </c>
      <c r="D237" s="154" t="s">
        <v>261</v>
      </c>
    </row>
    <row r="238" spans="1:7" x14ac:dyDescent="0.45">
      <c r="A238" s="24" t="s">
        <v>89</v>
      </c>
      <c r="B238" s="155">
        <v>11000000</v>
      </c>
      <c r="C238" s="155">
        <v>1100000</v>
      </c>
      <c r="D238" s="155">
        <v>9900000</v>
      </c>
    </row>
    <row r="239" spans="1:7" x14ac:dyDescent="0.45">
      <c r="A239" s="24" t="s">
        <v>90</v>
      </c>
      <c r="B239" s="155">
        <v>4500000</v>
      </c>
      <c r="C239" s="155">
        <v>2750000</v>
      </c>
      <c r="D239" s="155">
        <v>1750000</v>
      </c>
    </row>
    <row r="240" spans="1:7" x14ac:dyDescent="0.45">
      <c r="A240" s="24" t="s">
        <v>262</v>
      </c>
      <c r="B240" s="155">
        <v>1100000</v>
      </c>
      <c r="C240" s="155">
        <v>750000</v>
      </c>
      <c r="D240" s="155">
        <v>350000</v>
      </c>
    </row>
    <row r="241" spans="1:6" ht="15.75" x14ac:dyDescent="0.5">
      <c r="A241" s="24" t="s">
        <v>91</v>
      </c>
      <c r="B241" s="132">
        <v>16600000</v>
      </c>
      <c r="C241" s="133">
        <v>4600000</v>
      </c>
      <c r="D241" s="133">
        <v>12000000</v>
      </c>
    </row>
    <row r="243" spans="1:6" ht="15.75" x14ac:dyDescent="0.5">
      <c r="A243" s="152" t="s">
        <v>263</v>
      </c>
      <c r="B243" s="153"/>
      <c r="C243" s="153"/>
      <c r="D243" s="153"/>
      <c r="E243" s="153"/>
      <c r="F243" s="153"/>
    </row>
    <row r="244" spans="1:6" ht="15.75" x14ac:dyDescent="0.5">
      <c r="A244" s="24"/>
      <c r="B244" s="23">
        <v>2021</v>
      </c>
      <c r="C244" s="23">
        <v>2022</v>
      </c>
      <c r="D244" s="23"/>
      <c r="E244" s="23">
        <v>2021</v>
      </c>
      <c r="F244" s="23">
        <v>2022</v>
      </c>
    </row>
    <row r="245" spans="1:6" ht="15.75" x14ac:dyDescent="0.5">
      <c r="A245" s="23" t="s">
        <v>4</v>
      </c>
      <c r="B245" s="24"/>
      <c r="C245" s="24"/>
      <c r="D245" s="23" t="s">
        <v>60</v>
      </c>
      <c r="E245" s="24"/>
      <c r="F245" s="24"/>
    </row>
    <row r="246" spans="1:6" x14ac:dyDescent="0.45">
      <c r="A246" s="24" t="s">
        <v>61</v>
      </c>
      <c r="B246" s="24"/>
      <c r="C246" s="155"/>
      <c r="D246" s="155"/>
      <c r="E246" s="155"/>
      <c r="F246" s="155"/>
    </row>
    <row r="247" spans="1:6" x14ac:dyDescent="0.45">
      <c r="A247" s="24" t="s">
        <v>13</v>
      </c>
      <c r="B247" s="155">
        <v>1000000</v>
      </c>
      <c r="C247" s="155">
        <v>4980000</v>
      </c>
      <c r="D247" s="155" t="s">
        <v>62</v>
      </c>
      <c r="E247" s="155">
        <v>800000</v>
      </c>
      <c r="F247" s="155">
        <v>900000</v>
      </c>
    </row>
    <row r="248" spans="1:6" x14ac:dyDescent="0.45">
      <c r="A248" s="24" t="s">
        <v>16</v>
      </c>
      <c r="B248" s="155">
        <v>4000000</v>
      </c>
      <c r="C248" s="155">
        <v>4300000</v>
      </c>
      <c r="D248" s="155" t="s">
        <v>63</v>
      </c>
      <c r="E248" s="155">
        <v>600000</v>
      </c>
      <c r="F248" s="155">
        <v>550000</v>
      </c>
    </row>
    <row r="249" spans="1:6" x14ac:dyDescent="0.45">
      <c r="A249" s="24" t="s">
        <v>17</v>
      </c>
      <c r="B249" s="155">
        <v>150000</v>
      </c>
      <c r="C249" s="155">
        <v>150000</v>
      </c>
      <c r="D249" s="155" t="s">
        <v>64</v>
      </c>
      <c r="E249" s="155">
        <v>1000000</v>
      </c>
      <c r="F249" s="155">
        <v>1100000</v>
      </c>
    </row>
    <row r="250" spans="1:6" x14ac:dyDescent="0.45">
      <c r="A250" s="24" t="s">
        <v>18</v>
      </c>
      <c r="B250" s="155">
        <v>3000000</v>
      </c>
      <c r="C250" s="155">
        <v>3250000</v>
      </c>
      <c r="D250" s="155" t="s">
        <v>65</v>
      </c>
      <c r="E250" s="155">
        <v>600000</v>
      </c>
      <c r="F250" s="155">
        <v>1100000</v>
      </c>
    </row>
    <row r="251" spans="1:6" x14ac:dyDescent="0.45">
      <c r="A251" s="24" t="s">
        <v>66</v>
      </c>
      <c r="B251" s="155">
        <v>400000</v>
      </c>
      <c r="C251" s="155">
        <v>420000</v>
      </c>
      <c r="D251" s="155" t="s">
        <v>67</v>
      </c>
      <c r="E251" s="155">
        <v>200000</v>
      </c>
      <c r="F251" s="155">
        <v>250000</v>
      </c>
    </row>
    <row r="252" spans="1:6" ht="15.75" x14ac:dyDescent="0.5">
      <c r="A252" s="24" t="s">
        <v>68</v>
      </c>
      <c r="B252" s="155">
        <v>100000</v>
      </c>
      <c r="C252" s="155">
        <v>100000</v>
      </c>
      <c r="D252" s="133" t="s">
        <v>69</v>
      </c>
      <c r="E252" s="133">
        <v>3200000</v>
      </c>
      <c r="F252" s="133">
        <v>3900000</v>
      </c>
    </row>
    <row r="253" spans="1:6" ht="15.75" x14ac:dyDescent="0.5">
      <c r="A253" s="156" t="s">
        <v>21</v>
      </c>
      <c r="B253" s="133">
        <v>8650000</v>
      </c>
      <c r="C253" s="133">
        <v>9220000</v>
      </c>
      <c r="D253" s="155"/>
      <c r="E253" s="155"/>
      <c r="F253" s="155"/>
    </row>
    <row r="256" spans="1:6" x14ac:dyDescent="0.45">
      <c r="A256" s="181">
        <v>5.2</v>
      </c>
    </row>
    <row r="257" spans="1:7" ht="14.55" customHeight="1" x14ac:dyDescent="0.45">
      <c r="A257" s="462" t="s">
        <v>264</v>
      </c>
      <c r="B257" s="462"/>
      <c r="C257" s="462"/>
      <c r="D257" s="462"/>
      <c r="E257" s="462"/>
    </row>
    <row r="258" spans="1:7" ht="15" customHeight="1" x14ac:dyDescent="0.45">
      <c r="A258" s="462"/>
      <c r="B258" s="462"/>
      <c r="C258" s="462"/>
      <c r="D258" s="462"/>
      <c r="E258" s="462"/>
    </row>
    <row r="259" spans="1:7" x14ac:dyDescent="0.45">
      <c r="A259" s="462"/>
      <c r="B259" s="462"/>
      <c r="C259" s="462"/>
      <c r="D259" s="462"/>
      <c r="E259" s="462"/>
    </row>
    <row r="260" spans="1:7" ht="14.55" customHeight="1" x14ac:dyDescent="0.45">
      <c r="A260" s="462"/>
      <c r="B260" s="462"/>
      <c r="C260" s="462"/>
      <c r="D260" s="462"/>
      <c r="E260" s="462"/>
    </row>
    <row r="261" spans="1:7" s="33" customFormat="1" x14ac:dyDescent="0.45">
      <c r="A261" s="34">
        <v>13</v>
      </c>
    </row>
    <row r="262" spans="1:7" ht="14.65" thickBot="1" x14ac:dyDescent="0.5"/>
    <row r="263" spans="1:7" ht="14.65" thickBot="1" x14ac:dyDescent="0.5">
      <c r="A263" s="181">
        <v>4.0999999999999996</v>
      </c>
      <c r="E263" s="197"/>
      <c r="F263" s="198">
        <v>2021</v>
      </c>
      <c r="G263" s="199">
        <v>2022</v>
      </c>
    </row>
    <row r="264" spans="1:7" x14ac:dyDescent="0.45">
      <c r="E264" s="201" t="s">
        <v>182</v>
      </c>
      <c r="F264" s="200">
        <v>276000</v>
      </c>
      <c r="G264" s="200">
        <v>450000</v>
      </c>
    </row>
    <row r="265" spans="1:7" x14ac:dyDescent="0.45">
      <c r="A265" t="s">
        <v>353</v>
      </c>
      <c r="B265" s="208">
        <f>(F264+G264)/2</f>
        <v>363000</v>
      </c>
      <c r="E265" s="201" t="s">
        <v>165</v>
      </c>
      <c r="F265" s="200">
        <v>133000</v>
      </c>
      <c r="G265" s="200">
        <v>215000</v>
      </c>
    </row>
    <row r="266" spans="1:7" x14ac:dyDescent="0.45">
      <c r="A266" t="s">
        <v>352</v>
      </c>
      <c r="B266" s="208">
        <f>(F268+G268)/2</f>
        <v>605600</v>
      </c>
      <c r="E266" s="201" t="s">
        <v>337</v>
      </c>
      <c r="F266" s="200">
        <v>234000</v>
      </c>
      <c r="G266" s="200">
        <v>210000</v>
      </c>
    </row>
    <row r="267" spans="1:7" x14ac:dyDescent="0.45">
      <c r="A267" t="s">
        <v>354</v>
      </c>
      <c r="B267" s="208">
        <f>F265+F266+F267</f>
        <v>463000</v>
      </c>
      <c r="E267" s="202" t="s">
        <v>339</v>
      </c>
      <c r="F267" s="200">
        <v>96000</v>
      </c>
      <c r="G267" s="200">
        <v>140000</v>
      </c>
    </row>
    <row r="268" spans="1:7" x14ac:dyDescent="0.45">
      <c r="A268" t="s">
        <v>355</v>
      </c>
      <c r="B268" s="208">
        <f>G265+G266+G267</f>
        <v>565000</v>
      </c>
      <c r="E268" s="201" t="s">
        <v>62</v>
      </c>
      <c r="F268" s="200">
        <v>588100</v>
      </c>
      <c r="G268" s="200">
        <v>623100</v>
      </c>
    </row>
    <row r="269" spans="1:7" ht="14.65" thickBot="1" x14ac:dyDescent="0.5">
      <c r="A269" t="s">
        <v>356</v>
      </c>
      <c r="B269" s="208">
        <f>(B267+B268)/2</f>
        <v>514000</v>
      </c>
    </row>
    <row r="270" spans="1:7" ht="14.65" thickBot="1" x14ac:dyDescent="0.5">
      <c r="D270" s="204"/>
      <c r="E270" s="204" t="s">
        <v>350</v>
      </c>
      <c r="F270" s="204" t="s">
        <v>96</v>
      </c>
      <c r="G270" s="203">
        <v>30428156</v>
      </c>
    </row>
    <row r="271" spans="1:7" ht="14.65" thickBot="1" x14ac:dyDescent="0.5">
      <c r="A271" t="s">
        <v>102</v>
      </c>
      <c r="B271" s="1">
        <f>B269/G271*365</f>
        <v>30.516111192439698</v>
      </c>
      <c r="F271" s="204" t="s">
        <v>351</v>
      </c>
      <c r="G271" s="203">
        <v>6147900</v>
      </c>
    </row>
    <row r="272" spans="1:7" x14ac:dyDescent="0.45">
      <c r="A272" t="s">
        <v>103</v>
      </c>
      <c r="B272" s="1">
        <f>B265/G270*365</f>
        <v>4.3543552228403195</v>
      </c>
    </row>
    <row r="273" spans="1:6" x14ac:dyDescent="0.45">
      <c r="A273" t="s">
        <v>104</v>
      </c>
      <c r="B273" s="1">
        <f>B266/G271*365</f>
        <v>35.954390930236336</v>
      </c>
    </row>
    <row r="274" spans="1:6" x14ac:dyDescent="0.45">
      <c r="A274" t="s">
        <v>357</v>
      </c>
      <c r="B274" s="207">
        <f>B271+B272-B273</f>
        <v>-1.0839245149563155</v>
      </c>
    </row>
    <row r="276" spans="1:6" x14ac:dyDescent="0.45">
      <c r="A276" s="181">
        <v>4.2</v>
      </c>
    </row>
    <row r="278" spans="1:6" x14ac:dyDescent="0.45">
      <c r="A278" s="462" t="s">
        <v>358</v>
      </c>
      <c r="B278" s="462"/>
      <c r="C278" s="462"/>
      <c r="D278" s="462"/>
      <c r="E278" s="462"/>
      <c r="F278" s="462"/>
    </row>
    <row r="279" spans="1:6" x14ac:dyDescent="0.45">
      <c r="A279" s="462"/>
      <c r="B279" s="462"/>
      <c r="C279" s="462"/>
      <c r="D279" s="462"/>
      <c r="E279" s="462"/>
      <c r="F279" s="462"/>
    </row>
    <row r="280" spans="1:6" x14ac:dyDescent="0.45">
      <c r="A280" s="462"/>
      <c r="B280" s="462"/>
      <c r="C280" s="462"/>
      <c r="D280" s="462"/>
      <c r="E280" s="462"/>
      <c r="F280" s="462"/>
    </row>
    <row r="282" spans="1:6" s="33" customFormat="1" x14ac:dyDescent="0.45">
      <c r="A282" s="34">
        <v>14</v>
      </c>
    </row>
    <row r="284" spans="1:6" x14ac:dyDescent="0.45">
      <c r="A284" s="181">
        <v>5.0999999999999996</v>
      </c>
    </row>
    <row r="285" spans="1:6" ht="14.55" customHeight="1" x14ac:dyDescent="0.45">
      <c r="A285" s="462" t="s">
        <v>360</v>
      </c>
      <c r="B285" s="462"/>
      <c r="C285" s="462"/>
      <c r="D285" s="462"/>
      <c r="E285" s="462"/>
      <c r="F285" s="462"/>
    </row>
    <row r="286" spans="1:6" x14ac:dyDescent="0.45">
      <c r="A286" s="462"/>
      <c r="B286" s="462"/>
      <c r="C286" s="462"/>
      <c r="D286" s="462"/>
      <c r="E286" s="462"/>
      <c r="F286" s="462"/>
    </row>
    <row r="287" spans="1:6" x14ac:dyDescent="0.45">
      <c r="A287" s="462"/>
      <c r="B287" s="462"/>
      <c r="C287" s="462"/>
      <c r="D287" s="462"/>
      <c r="E287" s="462"/>
      <c r="F287" s="462"/>
    </row>
    <row r="288" spans="1:6" x14ac:dyDescent="0.45">
      <c r="A288" s="180"/>
      <c r="B288" s="180"/>
      <c r="C288" s="180"/>
      <c r="D288" s="180"/>
      <c r="E288" s="180"/>
    </row>
    <row r="289" spans="1:11" x14ac:dyDescent="0.45">
      <c r="A289" s="181">
        <v>5.2</v>
      </c>
    </row>
    <row r="290" spans="1:11" x14ac:dyDescent="0.45">
      <c r="A290" t="s">
        <v>359</v>
      </c>
    </row>
    <row r="292" spans="1:11" s="33" customFormat="1" x14ac:dyDescent="0.45">
      <c r="A292" s="330">
        <v>15</v>
      </c>
    </row>
    <row r="294" spans="1:11" x14ac:dyDescent="0.45">
      <c r="A294" t="s">
        <v>756</v>
      </c>
      <c r="E294" t="s">
        <v>742</v>
      </c>
    </row>
    <row r="295" spans="1:11" x14ac:dyDescent="0.45">
      <c r="A295" t="s">
        <v>753</v>
      </c>
      <c r="F295">
        <v>2021</v>
      </c>
      <c r="G295">
        <v>2022</v>
      </c>
      <c r="J295">
        <v>2021</v>
      </c>
      <c r="K295">
        <v>2022</v>
      </c>
    </row>
    <row r="296" spans="1:11" x14ac:dyDescent="0.45">
      <c r="A296" t="s">
        <v>754</v>
      </c>
      <c r="E296" t="s">
        <v>61</v>
      </c>
      <c r="I296" t="s">
        <v>305</v>
      </c>
    </row>
    <row r="297" spans="1:11" x14ac:dyDescent="0.45">
      <c r="A297" t="s">
        <v>755</v>
      </c>
      <c r="E297" t="s">
        <v>13</v>
      </c>
      <c r="F297">
        <v>4000000</v>
      </c>
      <c r="G297">
        <v>4583218</v>
      </c>
      <c r="I297" t="s">
        <v>62</v>
      </c>
      <c r="J297">
        <v>588100</v>
      </c>
      <c r="K297">
        <v>623100</v>
      </c>
    </row>
    <row r="298" spans="1:11" x14ac:dyDescent="0.45">
      <c r="E298" t="s">
        <v>17</v>
      </c>
      <c r="F298">
        <v>43000</v>
      </c>
      <c r="G298">
        <v>135000</v>
      </c>
      <c r="I298" t="s">
        <v>335</v>
      </c>
      <c r="J298">
        <v>315000</v>
      </c>
      <c r="K298">
        <v>266500</v>
      </c>
    </row>
    <row r="299" spans="1:11" x14ac:dyDescent="0.45">
      <c r="A299" t="s">
        <v>757</v>
      </c>
      <c r="B299">
        <f>((F300+F301+F302)+(G300+G301+G302))/2</f>
        <v>514000</v>
      </c>
      <c r="E299" t="s">
        <v>182</v>
      </c>
      <c r="F299">
        <v>276000</v>
      </c>
      <c r="G299">
        <v>450000</v>
      </c>
      <c r="I299" t="s">
        <v>336</v>
      </c>
      <c r="J299">
        <v>250000</v>
      </c>
      <c r="K299">
        <v>145144</v>
      </c>
    </row>
    <row r="300" spans="1:11" x14ac:dyDescent="0.45">
      <c r="A300" t="s">
        <v>758</v>
      </c>
      <c r="B300">
        <f>(F299+G299)/2</f>
        <v>363000</v>
      </c>
      <c r="E300" t="s">
        <v>165</v>
      </c>
      <c r="F300">
        <v>133000</v>
      </c>
      <c r="G300">
        <v>215000</v>
      </c>
      <c r="I300" t="s">
        <v>164</v>
      </c>
      <c r="J300">
        <v>2315000</v>
      </c>
      <c r="K300">
        <v>2150000</v>
      </c>
    </row>
    <row r="301" spans="1:11" x14ac:dyDescent="0.45">
      <c r="A301" t="s">
        <v>759</v>
      </c>
      <c r="B301">
        <f>(J297+K297)/2</f>
        <v>605600</v>
      </c>
      <c r="E301" t="s">
        <v>337</v>
      </c>
      <c r="F301">
        <v>234000</v>
      </c>
      <c r="G301">
        <v>210000</v>
      </c>
      <c r="I301" t="s">
        <v>338</v>
      </c>
      <c r="J301">
        <v>600000</v>
      </c>
      <c r="K301">
        <v>575000</v>
      </c>
    </row>
    <row r="302" spans="1:11" x14ac:dyDescent="0.45">
      <c r="A302" t="s">
        <v>760</v>
      </c>
      <c r="B302">
        <f>F322</f>
        <v>30300000</v>
      </c>
      <c r="C302" s="331" t="s">
        <v>761</v>
      </c>
      <c r="E302" t="s">
        <v>339</v>
      </c>
      <c r="F302">
        <v>96000</v>
      </c>
      <c r="G302">
        <v>140000</v>
      </c>
    </row>
    <row r="303" spans="1:11" x14ac:dyDescent="0.45">
      <c r="A303" t="s">
        <v>762</v>
      </c>
      <c r="B303">
        <f>G322</f>
        <v>4500000</v>
      </c>
      <c r="E303" t="s">
        <v>289</v>
      </c>
      <c r="F303">
        <v>25000</v>
      </c>
      <c r="G303">
        <v>0</v>
      </c>
    </row>
    <row r="305" spans="1:11" x14ac:dyDescent="0.45">
      <c r="A305" t="s">
        <v>763</v>
      </c>
      <c r="B305" s="1">
        <f>B299/B303*365</f>
        <v>41.691111111111113</v>
      </c>
      <c r="C305" t="s">
        <v>318</v>
      </c>
      <c r="E305" t="s">
        <v>343</v>
      </c>
      <c r="I305" t="s">
        <v>344</v>
      </c>
    </row>
    <row r="306" spans="1:11" x14ac:dyDescent="0.45">
      <c r="A306" t="s">
        <v>764</v>
      </c>
      <c r="B306" s="1">
        <f>B300/B302*365</f>
        <v>4.3727722772277229</v>
      </c>
      <c r="C306" t="s">
        <v>318</v>
      </c>
      <c r="E306" t="s">
        <v>291</v>
      </c>
      <c r="F306">
        <v>5800000</v>
      </c>
      <c r="G306">
        <v>5800000</v>
      </c>
      <c r="I306" t="s">
        <v>345</v>
      </c>
      <c r="J306">
        <v>11235000</v>
      </c>
      <c r="K306">
        <v>10985000</v>
      </c>
    </row>
    <row r="307" spans="1:11" x14ac:dyDescent="0.45">
      <c r="A307" t="s">
        <v>765</v>
      </c>
      <c r="B307" s="1">
        <f>B301/B303*365</f>
        <v>49.120888888888885</v>
      </c>
      <c r="C307" t="s">
        <v>318</v>
      </c>
      <c r="E307" t="s">
        <v>292</v>
      </c>
      <c r="F307">
        <v>13475000</v>
      </c>
      <c r="G307">
        <v>13475000</v>
      </c>
      <c r="I307" t="s">
        <v>346</v>
      </c>
      <c r="J307">
        <v>2500000</v>
      </c>
      <c r="K307">
        <v>2550000</v>
      </c>
    </row>
    <row r="308" spans="1:11" x14ac:dyDescent="0.45">
      <c r="E308" t="s">
        <v>347</v>
      </c>
      <c r="F308">
        <v>-4000000</v>
      </c>
      <c r="G308">
        <v>-4539000</v>
      </c>
      <c r="I308" t="s">
        <v>348</v>
      </c>
      <c r="J308">
        <v>2000000</v>
      </c>
      <c r="K308">
        <v>2075000</v>
      </c>
    </row>
    <row r="309" spans="1:11" x14ac:dyDescent="0.45">
      <c r="A309" t="s">
        <v>357</v>
      </c>
      <c r="B309" s="332">
        <f>B305+B306-B307</f>
        <v>-3.0570055005500478</v>
      </c>
      <c r="C309" t="s">
        <v>318</v>
      </c>
      <c r="E309" t="s">
        <v>293</v>
      </c>
      <c r="F309">
        <v>6150000</v>
      </c>
      <c r="G309">
        <v>5685000</v>
      </c>
      <c r="I309" t="s">
        <v>286</v>
      </c>
      <c r="J309">
        <v>2428900</v>
      </c>
      <c r="K309">
        <v>2644474</v>
      </c>
    </row>
    <row r="310" spans="1:11" x14ac:dyDescent="0.45">
      <c r="E310" t="s">
        <v>349</v>
      </c>
      <c r="F310">
        <v>-4000000</v>
      </c>
      <c r="G310">
        <v>-4140000</v>
      </c>
    </row>
    <row r="312" spans="1:11" x14ac:dyDescent="0.45">
      <c r="A312" s="465" t="s">
        <v>766</v>
      </c>
      <c r="B312" s="465"/>
      <c r="C312" s="465"/>
      <c r="E312" t="s">
        <v>733</v>
      </c>
      <c r="F312">
        <v>22232000</v>
      </c>
      <c r="G312">
        <v>22014218</v>
      </c>
      <c r="I312" t="s">
        <v>734</v>
      </c>
      <c r="J312">
        <v>22232000</v>
      </c>
      <c r="K312">
        <v>22014218</v>
      </c>
    </row>
    <row r="313" spans="1:11" x14ac:dyDescent="0.45">
      <c r="A313" s="465"/>
      <c r="B313" s="465"/>
      <c r="C313" s="465"/>
    </row>
    <row r="314" spans="1:11" x14ac:dyDescent="0.45">
      <c r="A314" s="465"/>
      <c r="B314" s="465"/>
      <c r="C314" s="465"/>
      <c r="E314" t="s">
        <v>743</v>
      </c>
    </row>
    <row r="315" spans="1:11" x14ac:dyDescent="0.45">
      <c r="A315" s="465"/>
      <c r="B315" s="465"/>
      <c r="C315" s="465"/>
      <c r="E315" t="s">
        <v>744</v>
      </c>
    </row>
    <row r="316" spans="1:11" x14ac:dyDescent="0.45">
      <c r="A316" s="465"/>
      <c r="B316" s="465"/>
      <c r="C316" s="465"/>
      <c r="E316" t="s">
        <v>745</v>
      </c>
      <c r="F316" t="s">
        <v>83</v>
      </c>
      <c r="G316" t="s">
        <v>746</v>
      </c>
      <c r="H316" t="s">
        <v>747</v>
      </c>
      <c r="I316" t="s">
        <v>748</v>
      </c>
      <c r="J316" t="s">
        <v>261</v>
      </c>
    </row>
    <row r="317" spans="1:11" x14ac:dyDescent="0.45">
      <c r="A317" s="465"/>
      <c r="B317" s="465"/>
      <c r="C317" s="465"/>
      <c r="E317" t="s">
        <v>749</v>
      </c>
      <c r="F317">
        <v>15000000</v>
      </c>
      <c r="G317">
        <v>0</v>
      </c>
      <c r="H317">
        <v>3000000</v>
      </c>
      <c r="I317">
        <v>1400000</v>
      </c>
      <c r="J317">
        <v>10600000</v>
      </c>
    </row>
    <row r="318" spans="1:11" x14ac:dyDescent="0.45">
      <c r="E318" t="s">
        <v>750</v>
      </c>
      <c r="F318">
        <v>8000000</v>
      </c>
      <c r="G318">
        <v>3000000</v>
      </c>
      <c r="H318">
        <v>2000000</v>
      </c>
      <c r="I318">
        <v>800000</v>
      </c>
      <c r="J318">
        <v>2200000</v>
      </c>
    </row>
    <row r="319" spans="1:11" x14ac:dyDescent="0.45">
      <c r="A319" t="s">
        <v>1080</v>
      </c>
      <c r="E319" t="s">
        <v>751</v>
      </c>
      <c r="F319">
        <v>2500000</v>
      </c>
      <c r="G319">
        <v>500000</v>
      </c>
      <c r="H319">
        <v>400000</v>
      </c>
      <c r="I319">
        <v>120000</v>
      </c>
      <c r="J319">
        <v>1480000</v>
      </c>
    </row>
    <row r="320" spans="1:11" x14ac:dyDescent="0.45">
      <c r="E320" t="s">
        <v>752</v>
      </c>
      <c r="F320">
        <v>4800000</v>
      </c>
      <c r="G320">
        <v>1000000</v>
      </c>
      <c r="H320">
        <v>1200000</v>
      </c>
      <c r="I320">
        <v>1200000</v>
      </c>
      <c r="J320">
        <v>1400000</v>
      </c>
    </row>
    <row r="321" spans="1:10" x14ac:dyDescent="0.45">
      <c r="A321" t="s">
        <v>767</v>
      </c>
      <c r="B321" s="333">
        <f>G300+G301+G302+G299+G303-K298-K297-K299</f>
        <v>-19744</v>
      </c>
    </row>
    <row r="322" spans="1:10" x14ac:dyDescent="0.45">
      <c r="E322" t="s">
        <v>350</v>
      </c>
      <c r="F322">
        <v>30300000</v>
      </c>
      <c r="G322">
        <v>4500000</v>
      </c>
      <c r="H322">
        <v>6600000</v>
      </c>
      <c r="I322">
        <v>3520000</v>
      </c>
      <c r="J322">
        <v>15680000</v>
      </c>
    </row>
    <row r="323" spans="1:10" x14ac:dyDescent="0.45">
      <c r="A323" s="464" t="s">
        <v>768</v>
      </c>
      <c r="B323" s="464"/>
      <c r="C323" s="464"/>
    </row>
    <row r="324" spans="1:10" x14ac:dyDescent="0.45">
      <c r="A324" s="464"/>
      <c r="B324" s="464"/>
      <c r="C324" s="464"/>
    </row>
    <row r="325" spans="1:10" x14ac:dyDescent="0.45">
      <c r="A325" s="464"/>
      <c r="B325" s="464"/>
      <c r="C325" s="464"/>
    </row>
    <row r="326" spans="1:10" x14ac:dyDescent="0.45">
      <c r="A326" s="464"/>
      <c r="B326" s="464"/>
      <c r="C326" s="464"/>
    </row>
    <row r="328" spans="1:10" s="33" customFormat="1" x14ac:dyDescent="0.45">
      <c r="A328" s="330">
        <v>16</v>
      </c>
    </row>
    <row r="330" spans="1:10" x14ac:dyDescent="0.45">
      <c r="A330" t="s">
        <v>756</v>
      </c>
      <c r="F330">
        <v>2022</v>
      </c>
      <c r="G330">
        <v>2023</v>
      </c>
    </row>
    <row r="331" spans="1:10" x14ac:dyDescent="0.45">
      <c r="A331" t="s">
        <v>753</v>
      </c>
      <c r="E331" t="s">
        <v>144</v>
      </c>
      <c r="F331">
        <v>20800</v>
      </c>
      <c r="G331">
        <v>31200</v>
      </c>
    </row>
    <row r="332" spans="1:10" x14ac:dyDescent="0.45">
      <c r="A332" t="s">
        <v>754</v>
      </c>
      <c r="E332" t="s">
        <v>306</v>
      </c>
      <c r="F332">
        <v>42000</v>
      </c>
      <c r="G332">
        <v>65500</v>
      </c>
    </row>
    <row r="333" spans="1:10" x14ac:dyDescent="0.45">
      <c r="A333" t="s">
        <v>755</v>
      </c>
      <c r="E333" t="s">
        <v>769</v>
      </c>
      <c r="F333">
        <v>73400</v>
      </c>
      <c r="G333">
        <v>52300</v>
      </c>
    </row>
    <row r="335" spans="1:10" x14ac:dyDescent="0.45">
      <c r="A335" t="s">
        <v>757</v>
      </c>
      <c r="B335">
        <f>(F332+G332)/2</f>
        <v>53750</v>
      </c>
      <c r="E335" t="s">
        <v>770</v>
      </c>
      <c r="G335">
        <v>1540000</v>
      </c>
    </row>
    <row r="336" spans="1:10" x14ac:dyDescent="0.45">
      <c r="A336" t="s">
        <v>758</v>
      </c>
      <c r="B336">
        <f>(F331+G331)/2</f>
        <v>26000</v>
      </c>
      <c r="E336" t="s">
        <v>771</v>
      </c>
      <c r="G336">
        <v>760000</v>
      </c>
    </row>
    <row r="337" spans="1:7" x14ac:dyDescent="0.45">
      <c r="A337" t="s">
        <v>759</v>
      </c>
      <c r="B337">
        <f>(F333+G333)/2</f>
        <v>62850</v>
      </c>
      <c r="E337" t="s">
        <v>773</v>
      </c>
      <c r="G337">
        <v>2300000</v>
      </c>
    </row>
    <row r="338" spans="1:7" x14ac:dyDescent="0.45">
      <c r="A338" t="s">
        <v>760</v>
      </c>
      <c r="B338">
        <f>G337</f>
        <v>2300000</v>
      </c>
      <c r="C338" s="331" t="s">
        <v>761</v>
      </c>
      <c r="E338" t="s">
        <v>772</v>
      </c>
      <c r="G338">
        <v>690400</v>
      </c>
    </row>
    <row r="339" spans="1:7" x14ac:dyDescent="0.45">
      <c r="A339" t="s">
        <v>762</v>
      </c>
      <c r="B339">
        <f>G338</f>
        <v>690400</v>
      </c>
    </row>
    <row r="341" spans="1:7" x14ac:dyDescent="0.45">
      <c r="A341" t="s">
        <v>763</v>
      </c>
      <c r="B341" s="1">
        <f>B335/B339*365</f>
        <v>28.416497682502897</v>
      </c>
      <c r="C341" t="s">
        <v>318</v>
      </c>
    </row>
    <row r="342" spans="1:7" x14ac:dyDescent="0.45">
      <c r="A342" t="s">
        <v>764</v>
      </c>
      <c r="B342" s="1">
        <f>B336/B338*365</f>
        <v>4.1260869565217391</v>
      </c>
      <c r="C342" t="s">
        <v>318</v>
      </c>
    </row>
    <row r="343" spans="1:7" x14ac:dyDescent="0.45">
      <c r="A343" t="s">
        <v>765</v>
      </c>
      <c r="B343" s="1">
        <f>B337/B339*365</f>
        <v>33.227476825028972</v>
      </c>
      <c r="C343" t="s">
        <v>318</v>
      </c>
    </row>
    <row r="345" spans="1:7" x14ac:dyDescent="0.45">
      <c r="A345" t="s">
        <v>357</v>
      </c>
      <c r="B345" s="332">
        <f>B341+B342-B343</f>
        <v>-0.68489218600433333</v>
      </c>
      <c r="C345" t="s">
        <v>318</v>
      </c>
    </row>
    <row r="347" spans="1:7" x14ac:dyDescent="0.45">
      <c r="A347" t="s">
        <v>1081</v>
      </c>
    </row>
    <row r="349" spans="1:7" x14ac:dyDescent="0.45">
      <c r="A349" s="17">
        <v>2022</v>
      </c>
      <c r="B349" s="17">
        <v>2023</v>
      </c>
    </row>
    <row r="350" spans="1:7" x14ac:dyDescent="0.45">
      <c r="A350">
        <f>F331+F332-F333</f>
        <v>-10600</v>
      </c>
      <c r="B350">
        <f>G331+G332-G333</f>
        <v>44400</v>
      </c>
    </row>
    <row r="352" spans="1:7" x14ac:dyDescent="0.45">
      <c r="A352" t="s">
        <v>774</v>
      </c>
    </row>
    <row r="353" spans="1:7" x14ac:dyDescent="0.45">
      <c r="A353" t="s">
        <v>775</v>
      </c>
      <c r="B353" s="210"/>
    </row>
    <row r="354" spans="1:7" x14ac:dyDescent="0.45">
      <c r="A354" t="s">
        <v>776</v>
      </c>
    </row>
    <row r="356" spans="1:7" x14ac:dyDescent="0.45">
      <c r="A356" t="s">
        <v>777</v>
      </c>
    </row>
    <row r="357" spans="1:7" x14ac:dyDescent="0.45">
      <c r="A357" t="s">
        <v>778</v>
      </c>
    </row>
    <row r="358" spans="1:7" x14ac:dyDescent="0.45">
      <c r="A358" s="16" t="s">
        <v>779</v>
      </c>
    </row>
    <row r="359" spans="1:7" x14ac:dyDescent="0.45">
      <c r="A359" s="16" t="s">
        <v>780</v>
      </c>
    </row>
    <row r="360" spans="1:7" x14ac:dyDescent="0.45">
      <c r="A360" s="16" t="s">
        <v>781</v>
      </c>
    </row>
    <row r="362" spans="1:7" s="33" customFormat="1" x14ac:dyDescent="0.45">
      <c r="A362" s="330">
        <v>17</v>
      </c>
    </row>
    <row r="363" spans="1:7" ht="18" x14ac:dyDescent="0.55000000000000004">
      <c r="D363" s="385"/>
      <c r="E363" s="386">
        <v>2022</v>
      </c>
      <c r="F363" s="386">
        <v>2023</v>
      </c>
    </row>
    <row r="364" spans="1:7" ht="18" x14ac:dyDescent="0.55000000000000004">
      <c r="A364" t="s">
        <v>756</v>
      </c>
      <c r="D364" s="387"/>
      <c r="E364" s="388">
        <v>45291</v>
      </c>
      <c r="F364" s="388">
        <v>45291</v>
      </c>
      <c r="G364" t="s">
        <v>173</v>
      </c>
    </row>
    <row r="365" spans="1:7" ht="18" x14ac:dyDescent="0.55000000000000004">
      <c r="A365" t="s">
        <v>753</v>
      </c>
      <c r="D365" s="389" t="s">
        <v>144</v>
      </c>
      <c r="E365" s="391">
        <v>21000</v>
      </c>
      <c r="F365" s="391">
        <v>80000</v>
      </c>
      <c r="G365" s="366">
        <f>(E365+F365)/2</f>
        <v>50500</v>
      </c>
    </row>
    <row r="366" spans="1:7" ht="18" x14ac:dyDescent="0.55000000000000004">
      <c r="A366" t="s">
        <v>860</v>
      </c>
      <c r="D366" s="389" t="s">
        <v>306</v>
      </c>
      <c r="E366" s="392">
        <v>72000</v>
      </c>
      <c r="F366" s="392">
        <v>120000</v>
      </c>
      <c r="G366" s="366">
        <f>(E366+F366)/2</f>
        <v>96000</v>
      </c>
    </row>
    <row r="367" spans="1:7" ht="18" x14ac:dyDescent="0.55000000000000004">
      <c r="A367" t="s">
        <v>861</v>
      </c>
      <c r="D367" s="390" t="s">
        <v>769</v>
      </c>
      <c r="E367" s="391">
        <v>95000</v>
      </c>
      <c r="F367" s="391">
        <v>78000</v>
      </c>
      <c r="G367" s="366">
        <f>(E367+F367)/2</f>
        <v>86500</v>
      </c>
    </row>
    <row r="369" spans="1:6" ht="18" x14ac:dyDescent="0.55000000000000004">
      <c r="A369" t="s">
        <v>864</v>
      </c>
      <c r="B369" s="6">
        <f>G366/F369*365</f>
        <v>44.923076923076927</v>
      </c>
      <c r="D369" s="393" t="s">
        <v>772</v>
      </c>
      <c r="F369" s="394">
        <v>780000</v>
      </c>
    </row>
    <row r="370" spans="1:6" ht="18" x14ac:dyDescent="0.55000000000000004">
      <c r="A370" t="s">
        <v>865</v>
      </c>
      <c r="B370" s="6">
        <f>G365/F374*365</f>
        <v>23.631410256410259</v>
      </c>
      <c r="D370" s="395" t="s">
        <v>770</v>
      </c>
      <c r="F370" s="396">
        <v>1740000</v>
      </c>
    </row>
    <row r="371" spans="1:6" ht="18" x14ac:dyDescent="0.55000000000000004">
      <c r="A371" t="s">
        <v>866</v>
      </c>
      <c r="B371" s="6">
        <f>G367/F369*365</f>
        <v>40.477564102564102</v>
      </c>
      <c r="D371" s="393" t="s">
        <v>771</v>
      </c>
      <c r="F371" s="397">
        <v>860000</v>
      </c>
    </row>
    <row r="372" spans="1:6" x14ac:dyDescent="0.45">
      <c r="A372" t="s">
        <v>867</v>
      </c>
      <c r="B372" s="211">
        <f>B369+B370-B371</f>
        <v>28.07692307692308</v>
      </c>
      <c r="D372" t="s">
        <v>3</v>
      </c>
      <c r="F372" s="366">
        <f>SUM(F370:F371)</f>
        <v>2600000</v>
      </c>
    </row>
    <row r="373" spans="1:6" x14ac:dyDescent="0.45">
      <c r="D373" s="38" t="s">
        <v>862</v>
      </c>
    </row>
    <row r="374" spans="1:6" x14ac:dyDescent="0.45">
      <c r="D374" t="s">
        <v>863</v>
      </c>
      <c r="F374" s="366">
        <f>F372*30%</f>
        <v>780000</v>
      </c>
    </row>
    <row r="375" spans="1:6" x14ac:dyDescent="0.45">
      <c r="A375" t="s">
        <v>1082</v>
      </c>
    </row>
    <row r="376" spans="1:6" x14ac:dyDescent="0.45">
      <c r="A376" t="s">
        <v>868</v>
      </c>
    </row>
    <row r="377" spans="1:6" x14ac:dyDescent="0.45">
      <c r="A377" t="s">
        <v>869</v>
      </c>
    </row>
    <row r="378" spans="1:6" x14ac:dyDescent="0.45">
      <c r="A378" s="17" t="s">
        <v>870</v>
      </c>
    </row>
    <row r="380" spans="1:6" x14ac:dyDescent="0.45">
      <c r="A380" t="s">
        <v>871</v>
      </c>
    </row>
    <row r="381" spans="1:6" x14ac:dyDescent="0.45">
      <c r="A381" t="s">
        <v>872</v>
      </c>
    </row>
    <row r="382" spans="1:6" x14ac:dyDescent="0.45">
      <c r="A382" t="s">
        <v>873</v>
      </c>
    </row>
    <row r="384" spans="1:6" x14ac:dyDescent="0.45">
      <c r="A384" t="s">
        <v>874</v>
      </c>
      <c r="B384" s="6">
        <f>B370+10</f>
        <v>33.631410256410263</v>
      </c>
    </row>
    <row r="385" spans="1:7" x14ac:dyDescent="0.45">
      <c r="A385" t="s">
        <v>875</v>
      </c>
      <c r="B385" s="366">
        <f>F374</f>
        <v>780000</v>
      </c>
    </row>
    <row r="386" spans="1:7" x14ac:dyDescent="0.45">
      <c r="A386" t="s">
        <v>879</v>
      </c>
    </row>
    <row r="387" spans="1:7" x14ac:dyDescent="0.45">
      <c r="A387" t="s">
        <v>876</v>
      </c>
      <c r="C387" t="s">
        <v>880</v>
      </c>
    </row>
    <row r="388" spans="1:7" x14ac:dyDescent="0.45">
      <c r="A388" t="s">
        <v>877</v>
      </c>
      <c r="C388" t="s">
        <v>881</v>
      </c>
    </row>
    <row r="389" spans="1:7" x14ac:dyDescent="0.45">
      <c r="A389" t="s">
        <v>878</v>
      </c>
      <c r="B389" s="398">
        <f>B384/365*B385</f>
        <v>71869.863013698647</v>
      </c>
      <c r="C389" t="s">
        <v>882</v>
      </c>
    </row>
    <row r="390" spans="1:7" x14ac:dyDescent="0.45">
      <c r="A390" t="s">
        <v>885</v>
      </c>
    </row>
    <row r="391" spans="1:7" x14ac:dyDescent="0.45">
      <c r="A391" t="s">
        <v>883</v>
      </c>
      <c r="B391" s="366">
        <f>E365</f>
        <v>21000</v>
      </c>
    </row>
    <row r="392" spans="1:7" x14ac:dyDescent="0.45">
      <c r="A392" t="s">
        <v>884</v>
      </c>
    </row>
    <row r="393" spans="1:7" x14ac:dyDescent="0.45">
      <c r="A393" t="s">
        <v>886</v>
      </c>
      <c r="B393" s="399">
        <f>B389*2-B391</f>
        <v>122739.72602739729</v>
      </c>
    </row>
    <row r="394" spans="1:7" x14ac:dyDescent="0.45">
      <c r="A394" t="s">
        <v>887</v>
      </c>
      <c r="B394" s="332">
        <f>B393-F365</f>
        <v>42739.726027397293</v>
      </c>
    </row>
    <row r="396" spans="1:7" s="33" customFormat="1" x14ac:dyDescent="0.45">
      <c r="A396" s="330">
        <v>18</v>
      </c>
    </row>
    <row r="398" spans="1:7" x14ac:dyDescent="0.45">
      <c r="A398" t="s">
        <v>756</v>
      </c>
      <c r="E398" t="s">
        <v>953</v>
      </c>
      <c r="F398" s="443">
        <v>44926</v>
      </c>
      <c r="G398" s="443">
        <v>45291</v>
      </c>
    </row>
    <row r="399" spans="1:7" x14ac:dyDescent="0.45">
      <c r="A399" t="s">
        <v>957</v>
      </c>
      <c r="E399" t="s">
        <v>954</v>
      </c>
      <c r="F399">
        <v>68800</v>
      </c>
      <c r="G399">
        <v>41800</v>
      </c>
    </row>
    <row r="400" spans="1:7" x14ac:dyDescent="0.45">
      <c r="A400" t="s">
        <v>958</v>
      </c>
      <c r="E400" t="s">
        <v>955</v>
      </c>
      <c r="F400">
        <v>5160</v>
      </c>
      <c r="G400">
        <v>7740</v>
      </c>
    </row>
    <row r="401" spans="1:7" x14ac:dyDescent="0.45">
      <c r="A401" t="s">
        <v>959</v>
      </c>
      <c r="E401" t="s">
        <v>988</v>
      </c>
      <c r="F401">
        <v>16200</v>
      </c>
      <c r="G401">
        <v>17300</v>
      </c>
    </row>
    <row r="402" spans="1:7" x14ac:dyDescent="0.45">
      <c r="E402" t="s">
        <v>956</v>
      </c>
      <c r="F402">
        <v>15480</v>
      </c>
      <c r="G402">
        <v>10320</v>
      </c>
    </row>
    <row r="403" spans="1:7" x14ac:dyDescent="0.45">
      <c r="A403" t="s">
        <v>960</v>
      </c>
      <c r="B403">
        <f>(F400+G400)/2</f>
        <v>6450</v>
      </c>
      <c r="E403" t="s">
        <v>996</v>
      </c>
      <c r="F403">
        <v>2300</v>
      </c>
      <c r="G403">
        <v>4100</v>
      </c>
    </row>
    <row r="404" spans="1:7" x14ac:dyDescent="0.45">
      <c r="A404" t="s">
        <v>961</v>
      </c>
      <c r="B404">
        <f>(F399+G399)/2</f>
        <v>55300</v>
      </c>
      <c r="E404" t="s">
        <v>997</v>
      </c>
      <c r="F404">
        <v>44000</v>
      </c>
      <c r="G404">
        <v>45877</v>
      </c>
    </row>
    <row r="405" spans="1:7" x14ac:dyDescent="0.45">
      <c r="A405" t="s">
        <v>962</v>
      </c>
      <c r="B405">
        <f>(F402+G402)/2</f>
        <v>12900</v>
      </c>
      <c r="E405" t="s">
        <v>3</v>
      </c>
      <c r="G405">
        <v>1569500</v>
      </c>
    </row>
    <row r="406" spans="1:7" x14ac:dyDescent="0.45">
      <c r="E406" t="s">
        <v>130</v>
      </c>
      <c r="G406">
        <v>470850</v>
      </c>
    </row>
    <row r="407" spans="1:7" x14ac:dyDescent="0.45">
      <c r="A407" t="s">
        <v>864</v>
      </c>
      <c r="B407" s="1">
        <f>B403/G406*365</f>
        <v>5</v>
      </c>
    </row>
    <row r="408" spans="1:7" x14ac:dyDescent="0.45">
      <c r="A408" t="s">
        <v>865</v>
      </c>
      <c r="B408" s="1">
        <f>B404/G405*365</f>
        <v>12.86046511627907</v>
      </c>
    </row>
    <row r="409" spans="1:7" x14ac:dyDescent="0.45">
      <c r="A409" t="s">
        <v>963</v>
      </c>
      <c r="B409" s="1">
        <f>B405/G406*365</f>
        <v>10</v>
      </c>
    </row>
    <row r="410" spans="1:7" x14ac:dyDescent="0.45">
      <c r="A410" t="s">
        <v>867</v>
      </c>
      <c r="B410" s="332">
        <f>B407+B408-B409</f>
        <v>7.8604651162790695</v>
      </c>
    </row>
    <row r="412" spans="1:7" x14ac:dyDescent="0.45">
      <c r="A412" t="s">
        <v>1082</v>
      </c>
    </row>
    <row r="413" spans="1:7" x14ac:dyDescent="0.45">
      <c r="A413" t="s">
        <v>964</v>
      </c>
      <c r="B413" s="207">
        <f>G400+G399+G401-G402-G403-G404</f>
        <v>6543</v>
      </c>
    </row>
    <row r="415" spans="1:7" x14ac:dyDescent="0.45">
      <c r="A415" t="s">
        <v>965</v>
      </c>
    </row>
    <row r="416" spans="1:7" x14ac:dyDescent="0.45">
      <c r="A416" s="16" t="s">
        <v>966</v>
      </c>
    </row>
    <row r="417" spans="1:4" x14ac:dyDescent="0.45">
      <c r="A417" s="16" t="s">
        <v>967</v>
      </c>
    </row>
    <row r="418" spans="1:4" x14ac:dyDescent="0.45">
      <c r="A418" s="16" t="s">
        <v>968</v>
      </c>
    </row>
    <row r="419" spans="1:4" x14ac:dyDescent="0.45">
      <c r="A419" s="16" t="s">
        <v>969</v>
      </c>
    </row>
    <row r="421" spans="1:4" s="33" customFormat="1" x14ac:dyDescent="0.45">
      <c r="A421" s="330">
        <v>19</v>
      </c>
    </row>
    <row r="423" spans="1:4" x14ac:dyDescent="0.45">
      <c r="A423" t="s">
        <v>1037</v>
      </c>
    </row>
    <row r="424" spans="1:4" x14ac:dyDescent="0.45">
      <c r="A424" t="s">
        <v>1038</v>
      </c>
    </row>
    <row r="425" spans="1:4" x14ac:dyDescent="0.45">
      <c r="A425" t="s">
        <v>1039</v>
      </c>
    </row>
    <row r="426" spans="1:4" x14ac:dyDescent="0.45">
      <c r="A426" t="s">
        <v>1040</v>
      </c>
    </row>
    <row r="427" spans="1:4" x14ac:dyDescent="0.45">
      <c r="A427" t="s">
        <v>1041</v>
      </c>
    </row>
    <row r="428" spans="1:4" x14ac:dyDescent="0.45">
      <c r="A428" t="s">
        <v>1042</v>
      </c>
    </row>
    <row r="429" spans="1:4" x14ac:dyDescent="0.45">
      <c r="A429" s="333" t="s">
        <v>1043</v>
      </c>
    </row>
    <row r="430" spans="1:4" x14ac:dyDescent="0.45">
      <c r="A430" t="s">
        <v>1044</v>
      </c>
      <c r="C430" s="384">
        <f>2/3</f>
        <v>0.66666666666666663</v>
      </c>
    </row>
    <row r="432" spans="1:4" x14ac:dyDescent="0.45">
      <c r="A432" s="465" t="s">
        <v>1045</v>
      </c>
      <c r="B432" s="465"/>
      <c r="C432" s="465"/>
      <c r="D432" s="465"/>
    </row>
    <row r="433" spans="1:4" x14ac:dyDescent="0.45">
      <c r="A433" s="465"/>
      <c r="B433" s="465"/>
      <c r="C433" s="465"/>
      <c r="D433" s="465"/>
    </row>
    <row r="434" spans="1:4" x14ac:dyDescent="0.45">
      <c r="A434" s="465"/>
      <c r="B434" s="465"/>
      <c r="C434" s="465"/>
      <c r="D434" s="465"/>
    </row>
    <row r="435" spans="1:4" x14ac:dyDescent="0.45">
      <c r="A435" s="465"/>
      <c r="B435" s="465"/>
      <c r="C435" s="465"/>
      <c r="D435" s="465"/>
    </row>
    <row r="436" spans="1:4" x14ac:dyDescent="0.45">
      <c r="A436" s="465"/>
      <c r="B436" s="465"/>
      <c r="C436" s="465"/>
      <c r="D436" s="465"/>
    </row>
    <row r="438" spans="1:4" ht="14.25" customHeight="1" x14ac:dyDescent="0.45">
      <c r="A438" s="464" t="s">
        <v>1046</v>
      </c>
      <c r="B438" s="464"/>
      <c r="C438" s="464"/>
      <c r="D438" s="464"/>
    </row>
    <row r="439" spans="1:4" x14ac:dyDescent="0.45">
      <c r="A439" s="464"/>
      <c r="B439" s="464"/>
      <c r="C439" s="464"/>
      <c r="D439" s="464"/>
    </row>
    <row r="440" spans="1:4" x14ac:dyDescent="0.45">
      <c r="A440" s="464"/>
      <c r="B440" s="464"/>
      <c r="C440" s="464"/>
      <c r="D440" s="464"/>
    </row>
    <row r="441" spans="1:4" x14ac:dyDescent="0.45">
      <c r="A441" s="464"/>
      <c r="B441" s="464"/>
      <c r="C441" s="464"/>
      <c r="D441" s="464"/>
    </row>
    <row r="442" spans="1:4" x14ac:dyDescent="0.45">
      <c r="A442" s="464"/>
      <c r="B442" s="464"/>
      <c r="C442" s="464"/>
      <c r="D442" s="464"/>
    </row>
    <row r="444" spans="1:4" s="33" customFormat="1" x14ac:dyDescent="0.45">
      <c r="A444" s="330">
        <v>20</v>
      </c>
    </row>
    <row r="446" spans="1:4" x14ac:dyDescent="0.45">
      <c r="A446" s="442" t="s">
        <v>170</v>
      </c>
    </row>
    <row r="447" spans="1:4" x14ac:dyDescent="0.45">
      <c r="A447" t="s">
        <v>1047</v>
      </c>
      <c r="B447" t="s">
        <v>104</v>
      </c>
      <c r="C447" t="s">
        <v>1048</v>
      </c>
    </row>
    <row r="448" spans="1:4" x14ac:dyDescent="0.45">
      <c r="A448">
        <v>25</v>
      </c>
      <c r="B448">
        <v>11.1</v>
      </c>
      <c r="C448">
        <v>10</v>
      </c>
    </row>
    <row r="450" spans="1:4" x14ac:dyDescent="0.45">
      <c r="A450" s="31" t="s">
        <v>1050</v>
      </c>
    </row>
    <row r="451" spans="1:4" x14ac:dyDescent="0.45">
      <c r="A451" t="s">
        <v>1049</v>
      </c>
      <c r="B451">
        <f>365/25</f>
        <v>14.6</v>
      </c>
    </row>
    <row r="452" spans="1:4" x14ac:dyDescent="0.45">
      <c r="A452" t="s">
        <v>1051</v>
      </c>
      <c r="B452">
        <f>365/10</f>
        <v>36.5</v>
      </c>
    </row>
    <row r="453" spans="1:4" x14ac:dyDescent="0.45">
      <c r="A453" t="s">
        <v>867</v>
      </c>
      <c r="B453" s="333">
        <f>B452+B451-B448</f>
        <v>40</v>
      </c>
    </row>
    <row r="455" spans="1:4" ht="14.25" customHeight="1" x14ac:dyDescent="0.45">
      <c r="A455" s="464" t="s">
        <v>1052</v>
      </c>
      <c r="B455" s="464"/>
      <c r="C455" s="464"/>
      <c r="D455" s="464"/>
    </row>
    <row r="456" spans="1:4" x14ac:dyDescent="0.45">
      <c r="A456" s="464"/>
      <c r="B456" s="464"/>
      <c r="C456" s="464"/>
      <c r="D456" s="464"/>
    </row>
    <row r="457" spans="1:4" x14ac:dyDescent="0.45">
      <c r="A457" s="464"/>
      <c r="B457" s="464"/>
      <c r="C457" s="464"/>
      <c r="D457" s="464"/>
    </row>
    <row r="458" spans="1:4" x14ac:dyDescent="0.45">
      <c r="A458" s="464"/>
      <c r="B458" s="464"/>
      <c r="C458" s="464"/>
      <c r="D458" s="464"/>
    </row>
    <row r="459" spans="1:4" x14ac:dyDescent="0.45">
      <c r="A459" s="464"/>
      <c r="B459" s="464"/>
      <c r="C459" s="464"/>
      <c r="D459" s="464"/>
    </row>
    <row r="461" spans="1:4" x14ac:dyDescent="0.45">
      <c r="A461" s="464" t="s">
        <v>1053</v>
      </c>
      <c r="B461" s="464"/>
      <c r="C461" s="464"/>
      <c r="D461" s="464"/>
    </row>
    <row r="462" spans="1:4" x14ac:dyDescent="0.45">
      <c r="A462" s="464"/>
      <c r="B462" s="464"/>
      <c r="C462" s="464"/>
      <c r="D462" s="464"/>
    </row>
    <row r="463" spans="1:4" x14ac:dyDescent="0.45">
      <c r="A463" s="464"/>
      <c r="B463" s="464"/>
      <c r="C463" s="464"/>
      <c r="D463" s="464"/>
    </row>
    <row r="464" spans="1:4" x14ac:dyDescent="0.45">
      <c r="A464" s="464"/>
      <c r="B464" s="464"/>
      <c r="C464" s="464"/>
      <c r="D464" s="464"/>
    </row>
    <row r="466" spans="1:4" x14ac:dyDescent="0.45">
      <c r="A466" t="s">
        <v>1054</v>
      </c>
    </row>
    <row r="467" spans="1:4" x14ac:dyDescent="0.45">
      <c r="A467" t="s">
        <v>1055</v>
      </c>
    </row>
    <row r="469" spans="1:4" x14ac:dyDescent="0.45">
      <c r="A469" t="s">
        <v>61</v>
      </c>
      <c r="C469" t="s">
        <v>305</v>
      </c>
    </row>
    <row r="470" spans="1:4" x14ac:dyDescent="0.45">
      <c r="A470" s="31" t="s">
        <v>13</v>
      </c>
      <c r="B470" s="31">
        <v>100000</v>
      </c>
      <c r="C470" t="s">
        <v>1058</v>
      </c>
      <c r="D470">
        <v>4000000</v>
      </c>
    </row>
    <row r="471" spans="1:4" x14ac:dyDescent="0.45">
      <c r="A471" t="s">
        <v>1056</v>
      </c>
      <c r="B471">
        <v>1900000</v>
      </c>
      <c r="C471" t="s">
        <v>1059</v>
      </c>
      <c r="D471">
        <v>3000000</v>
      </c>
    </row>
    <row r="472" spans="1:4" x14ac:dyDescent="0.45">
      <c r="A472" t="s">
        <v>306</v>
      </c>
      <c r="B472">
        <v>3000000</v>
      </c>
      <c r="C472" s="31" t="s">
        <v>1060</v>
      </c>
      <c r="D472" s="31">
        <v>2000000</v>
      </c>
    </row>
    <row r="473" spans="1:4" x14ac:dyDescent="0.45">
      <c r="A473" t="s">
        <v>1057</v>
      </c>
      <c r="B473">
        <v>100000</v>
      </c>
      <c r="C473" t="s">
        <v>1061</v>
      </c>
      <c r="D473">
        <v>100000</v>
      </c>
    </row>
    <row r="474" spans="1:4" x14ac:dyDescent="0.45">
      <c r="A474" s="31" t="s">
        <v>17</v>
      </c>
      <c r="B474" s="31">
        <v>3000000</v>
      </c>
      <c r="C474" s="31" t="s">
        <v>1062</v>
      </c>
      <c r="D474" s="31">
        <v>1000000</v>
      </c>
    </row>
    <row r="476" spans="1:4" x14ac:dyDescent="0.45">
      <c r="A476" s="333" t="s">
        <v>1063</v>
      </c>
      <c r="B476" s="450">
        <f>B471+B472+B473-D470-D471-D473</f>
        <v>-2100000</v>
      </c>
    </row>
    <row r="478" spans="1:4" x14ac:dyDescent="0.45">
      <c r="A478" s="465" t="s">
        <v>1064</v>
      </c>
      <c r="B478" s="465"/>
      <c r="C478" s="465"/>
      <c r="D478" s="465"/>
    </row>
    <row r="479" spans="1:4" x14ac:dyDescent="0.45">
      <c r="A479" s="465"/>
      <c r="B479" s="465"/>
      <c r="C479" s="465"/>
      <c r="D479" s="465"/>
    </row>
    <row r="480" spans="1:4" x14ac:dyDescent="0.45">
      <c r="A480" s="465"/>
      <c r="B480" s="465"/>
      <c r="C480" s="465"/>
      <c r="D480" s="465"/>
    </row>
    <row r="481" spans="1:4" x14ac:dyDescent="0.45">
      <c r="A481" s="465"/>
      <c r="B481" s="465"/>
      <c r="C481" s="465"/>
      <c r="D481" s="465"/>
    </row>
    <row r="483" spans="1:4" s="33" customFormat="1" x14ac:dyDescent="0.45">
      <c r="A483" s="330">
        <v>21</v>
      </c>
    </row>
    <row r="485" spans="1:4" x14ac:dyDescent="0.45">
      <c r="A485" s="442" t="s">
        <v>170</v>
      </c>
    </row>
    <row r="486" spans="1:4" x14ac:dyDescent="0.45">
      <c r="A486" t="s">
        <v>1122</v>
      </c>
      <c r="B486" t="s">
        <v>1123</v>
      </c>
      <c r="C486" t="s">
        <v>1124</v>
      </c>
    </row>
    <row r="487" spans="1:4" x14ac:dyDescent="0.45">
      <c r="A487">
        <v>12</v>
      </c>
      <c r="B487">
        <v>20</v>
      </c>
      <c r="C487">
        <v>41</v>
      </c>
    </row>
    <row r="489" spans="1:4" x14ac:dyDescent="0.45">
      <c r="A489" s="31" t="s">
        <v>1050</v>
      </c>
    </row>
    <row r="490" spans="1:4" x14ac:dyDescent="0.45">
      <c r="A490" t="s">
        <v>1125</v>
      </c>
      <c r="B490">
        <f>365/B487</f>
        <v>18.25</v>
      </c>
    </row>
    <row r="491" spans="1:4" x14ac:dyDescent="0.45">
      <c r="A491" t="s">
        <v>1126</v>
      </c>
      <c r="B491" s="1">
        <f>365/C487</f>
        <v>8.9024390243902438</v>
      </c>
    </row>
    <row r="492" spans="1:4" x14ac:dyDescent="0.45">
      <c r="A492" t="s">
        <v>867</v>
      </c>
      <c r="B492" s="207">
        <f>A487+B490-B491</f>
        <v>21.347560975609756</v>
      </c>
    </row>
    <row r="494" spans="1:4" x14ac:dyDescent="0.45">
      <c r="A494" t="s">
        <v>1127</v>
      </c>
    </row>
    <row r="496" spans="1:4" x14ac:dyDescent="0.45">
      <c r="A496" t="s">
        <v>1128</v>
      </c>
    </row>
    <row r="497" spans="1:1" x14ac:dyDescent="0.45">
      <c r="A497" t="s">
        <v>1129</v>
      </c>
    </row>
    <row r="499" spans="1:1" x14ac:dyDescent="0.45">
      <c r="A499" t="s">
        <v>1130</v>
      </c>
    </row>
  </sheetData>
  <mergeCells count="26">
    <mergeCell ref="A312:C317"/>
    <mergeCell ref="A323:C326"/>
    <mergeCell ref="A285:F287"/>
    <mergeCell ref="A149:E153"/>
    <mergeCell ref="A134:F135"/>
    <mergeCell ref="A136:F137"/>
    <mergeCell ref="A257:E260"/>
    <mergeCell ref="B2:B3"/>
    <mergeCell ref="C2:C3"/>
    <mergeCell ref="B96:E102"/>
    <mergeCell ref="A138:F139"/>
    <mergeCell ref="A278:F280"/>
    <mergeCell ref="G134:G139"/>
    <mergeCell ref="G125:H128"/>
    <mergeCell ref="A225:A226"/>
    <mergeCell ref="A228:A229"/>
    <mergeCell ref="B210:I214"/>
    <mergeCell ref="B216:I220"/>
    <mergeCell ref="A125:F128"/>
    <mergeCell ref="A130:F132"/>
    <mergeCell ref="A142:E148"/>
    <mergeCell ref="A461:D464"/>
    <mergeCell ref="A478:D481"/>
    <mergeCell ref="A432:D436"/>
    <mergeCell ref="A438:D442"/>
    <mergeCell ref="A455:D459"/>
  </mergeCells>
  <hyperlinks>
    <hyperlink ref="A11" r:id="rId1" display="https://www.gurufocus.com/stock/GHG/summary" xr:uid="{00000000-0004-0000-0300-000000000000}"/>
    <hyperlink ref="A10" r:id="rId2" display="https://www.gurufocus.com/stock/STAY/summary" xr:uid="{00000000-0004-0000-0300-000001000000}"/>
    <hyperlink ref="A9" r:id="rId3" display="https://www.gurufocus.com/stock/WH/summary" xr:uid="{00000000-0004-0000-0300-000002000000}"/>
    <hyperlink ref="A8" r:id="rId4" display="https://www.gurufocus.com/stock/CHH/summary" xr:uid="{00000000-0004-0000-0300-000003000000}"/>
    <hyperlink ref="A7" r:id="rId5" display="https://www.gurufocus.com/stock/H/summary" xr:uid="{00000000-0004-0000-0300-000004000000}"/>
    <hyperlink ref="A6" r:id="rId6" display="https://www.gurufocus.com/stock/HTHT/summary" xr:uid="{00000000-0004-0000-0300-000005000000}"/>
    <hyperlink ref="A5" r:id="rId7" display="https://www.gurufocus.com/stock/MAR/summary" xr:uid="{00000000-0004-0000-0300-000006000000}"/>
    <hyperlink ref="A4" r:id="rId8" display="https://www.gurufocus.com/stock/HLT/summary" xr:uid="{00000000-0004-0000-0300-000007000000}"/>
  </hyperlinks>
  <pageMargins left="0.7" right="0.7" top="0.75" bottom="0.75" header="0.3" footer="0.3"/>
  <pageSetup paperSize="9" orientation="portrait" horizontalDpi="4294967293" verticalDpi="4294967293"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4"/>
  <sheetViews>
    <sheetView topLeftCell="A190" zoomScaleNormal="100" workbookViewId="0">
      <selection activeCell="A206" sqref="A206:D208"/>
    </sheetView>
  </sheetViews>
  <sheetFormatPr defaultRowHeight="14.25" x14ac:dyDescent="0.45"/>
  <cols>
    <col min="1" max="1" width="26.6640625" customWidth="1"/>
    <col min="2" max="2" width="31" customWidth="1"/>
    <col min="3" max="3" width="29.73046875" bestFit="1" customWidth="1"/>
    <col min="4" max="4" width="22.53125" customWidth="1"/>
    <col min="5" max="5" width="17.06640625" customWidth="1"/>
    <col min="6" max="6" width="23" customWidth="1"/>
    <col min="7" max="7" width="18.796875" bestFit="1" customWidth="1"/>
    <col min="8" max="8" width="27.796875" bestFit="1" customWidth="1"/>
    <col min="9" max="9" width="42.73046875" customWidth="1"/>
    <col min="10" max="10" width="23" bestFit="1" customWidth="1"/>
    <col min="11" max="12" width="12.73046875" bestFit="1" customWidth="1"/>
    <col min="13" max="13" width="10.19921875" bestFit="1" customWidth="1"/>
  </cols>
  <sheetData>
    <row r="1" spans="1:8" s="33" customFormat="1" x14ac:dyDescent="0.45">
      <c r="A1" s="34">
        <v>1</v>
      </c>
    </row>
    <row r="2" spans="1:8" x14ac:dyDescent="0.45">
      <c r="F2" t="s">
        <v>265</v>
      </c>
    </row>
    <row r="3" spans="1:8" x14ac:dyDescent="0.45">
      <c r="B3" t="s">
        <v>266</v>
      </c>
      <c r="F3" s="17" t="s">
        <v>267</v>
      </c>
      <c r="H3" s="56" t="s">
        <v>268</v>
      </c>
    </row>
    <row r="4" spans="1:8" x14ac:dyDescent="0.45">
      <c r="C4" s="27">
        <f>H7/H6</f>
        <v>0.08</v>
      </c>
      <c r="F4" s="17" t="s">
        <v>269</v>
      </c>
      <c r="H4" s="1">
        <v>9825</v>
      </c>
    </row>
    <row r="5" spans="1:8" x14ac:dyDescent="0.45">
      <c r="F5" s="17" t="s">
        <v>270</v>
      </c>
      <c r="H5" s="1"/>
    </row>
    <row r="6" spans="1:8" x14ac:dyDescent="0.45">
      <c r="F6" s="17" t="s">
        <v>271</v>
      </c>
      <c r="H6" s="1">
        <v>18831.25</v>
      </c>
    </row>
    <row r="7" spans="1:8" x14ac:dyDescent="0.45">
      <c r="F7" s="17" t="s">
        <v>272</v>
      </c>
      <c r="H7" s="1">
        <v>1506.5</v>
      </c>
    </row>
    <row r="9" spans="1:8" s="33" customFormat="1" x14ac:dyDescent="0.45">
      <c r="A9" s="34">
        <v>2</v>
      </c>
    </row>
    <row r="11" spans="1:8" x14ac:dyDescent="0.45">
      <c r="B11">
        <v>1</v>
      </c>
    </row>
    <row r="12" spans="1:8" x14ac:dyDescent="0.45">
      <c r="D12" s="17" t="s">
        <v>276</v>
      </c>
      <c r="E12" s="17" t="s">
        <v>277</v>
      </c>
      <c r="F12" s="17" t="s">
        <v>278</v>
      </c>
    </row>
    <row r="13" spans="1:8" x14ac:dyDescent="0.45">
      <c r="C13" t="s">
        <v>13</v>
      </c>
      <c r="D13" s="1">
        <v>180000</v>
      </c>
      <c r="E13" s="1">
        <v>200000</v>
      </c>
      <c r="F13" s="1">
        <v>160000</v>
      </c>
    </row>
    <row r="14" spans="1:8" x14ac:dyDescent="0.45">
      <c r="C14" t="s">
        <v>279</v>
      </c>
      <c r="D14" s="1">
        <v>140000</v>
      </c>
      <c r="E14" s="1">
        <v>260000</v>
      </c>
      <c r="F14" s="1">
        <v>80000</v>
      </c>
    </row>
    <row r="15" spans="1:8" x14ac:dyDescent="0.45">
      <c r="C15" t="s">
        <v>280</v>
      </c>
      <c r="D15" s="15">
        <f>D14*0.97</f>
        <v>135800</v>
      </c>
      <c r="E15" s="15">
        <f>E14*0.97</f>
        <v>252200</v>
      </c>
      <c r="F15" s="15">
        <f>F14*0.97</f>
        <v>77600</v>
      </c>
    </row>
    <row r="16" spans="1:8" x14ac:dyDescent="0.45">
      <c r="C16" t="s">
        <v>281</v>
      </c>
      <c r="D16" s="15">
        <f>D15/30*21</f>
        <v>95060</v>
      </c>
      <c r="E16" s="15">
        <f>E15/30*21</f>
        <v>176540</v>
      </c>
      <c r="F16" s="15">
        <f>F15/30*21</f>
        <v>54320</v>
      </c>
    </row>
    <row r="17" spans="1:8" x14ac:dyDescent="0.45">
      <c r="C17" t="s">
        <v>282</v>
      </c>
      <c r="D17">
        <v>0</v>
      </c>
      <c r="E17" s="15">
        <f>D15-D16</f>
        <v>40740</v>
      </c>
      <c r="F17" s="15">
        <f>E15-E16</f>
        <v>75660</v>
      </c>
    </row>
    <row r="18" spans="1:8" x14ac:dyDescent="0.45">
      <c r="C18" s="17" t="s">
        <v>283</v>
      </c>
      <c r="D18" s="15">
        <f>D16+D17</f>
        <v>95060</v>
      </c>
      <c r="E18" s="28">
        <f>E16+E17</f>
        <v>217280</v>
      </c>
      <c r="F18" s="28">
        <f>F16+F17</f>
        <v>129980</v>
      </c>
    </row>
    <row r="19" spans="1:8" x14ac:dyDescent="0.45">
      <c r="C19" s="17" t="s">
        <v>284</v>
      </c>
      <c r="D19" s="15">
        <f>D18+D13</f>
        <v>275060</v>
      </c>
      <c r="E19" s="15">
        <f>E18+E13</f>
        <v>417280</v>
      </c>
      <c r="F19" s="28">
        <f>F18+F13</f>
        <v>289980</v>
      </c>
    </row>
    <row r="20" spans="1:8" x14ac:dyDescent="0.45">
      <c r="C20" s="17"/>
      <c r="D20" s="15"/>
      <c r="E20" s="15"/>
      <c r="F20" s="15"/>
    </row>
    <row r="21" spans="1:8" x14ac:dyDescent="0.45">
      <c r="B21">
        <v>2</v>
      </c>
      <c r="C21" s="464" t="s">
        <v>285</v>
      </c>
      <c r="D21" s="464"/>
      <c r="E21" s="464"/>
      <c r="F21" s="464"/>
      <c r="G21" s="464"/>
      <c r="H21" s="464"/>
    </row>
    <row r="22" spans="1:8" x14ac:dyDescent="0.45">
      <c r="C22" s="464"/>
      <c r="D22" s="464"/>
      <c r="E22" s="464"/>
      <c r="F22" s="464"/>
      <c r="G22" s="464"/>
      <c r="H22" s="464"/>
    </row>
    <row r="23" spans="1:8" s="33" customFormat="1" x14ac:dyDescent="0.45">
      <c r="A23" s="34">
        <v>3</v>
      </c>
    </row>
    <row r="25" spans="1:8" x14ac:dyDescent="0.45">
      <c r="A25" s="465" t="s">
        <v>290</v>
      </c>
      <c r="B25" s="465"/>
      <c r="C25" s="465"/>
      <c r="D25" s="465"/>
      <c r="E25" s="465"/>
      <c r="F25" s="465"/>
    </row>
    <row r="26" spans="1:8" x14ac:dyDescent="0.45">
      <c r="A26" s="465"/>
      <c r="B26" s="465"/>
      <c r="C26" s="465"/>
      <c r="D26" s="465"/>
      <c r="E26" s="465"/>
      <c r="F26" s="465"/>
    </row>
    <row r="27" spans="1:8" x14ac:dyDescent="0.45">
      <c r="A27" s="465"/>
      <c r="B27" s="465"/>
      <c r="C27" s="465"/>
      <c r="D27" s="465"/>
      <c r="E27" s="465"/>
      <c r="F27" s="465"/>
    </row>
    <row r="28" spans="1:8" x14ac:dyDescent="0.45">
      <c r="A28" s="465"/>
      <c r="B28" s="465"/>
      <c r="C28" s="465"/>
      <c r="D28" s="465"/>
      <c r="E28" s="465"/>
      <c r="F28" s="465"/>
    </row>
    <row r="29" spans="1:8" x14ac:dyDescent="0.45">
      <c r="A29" s="465"/>
      <c r="B29" s="465"/>
      <c r="C29" s="465"/>
      <c r="D29" s="465"/>
      <c r="E29" s="465"/>
      <c r="F29" s="465"/>
    </row>
    <row r="31" spans="1:8" s="33" customFormat="1" x14ac:dyDescent="0.45">
      <c r="A31" s="34">
        <v>4</v>
      </c>
    </row>
    <row r="34" spans="1:11" ht="28.5" x14ac:dyDescent="0.45">
      <c r="B34" t="s">
        <v>228</v>
      </c>
      <c r="C34">
        <v>30</v>
      </c>
      <c r="D34">
        <v>31</v>
      </c>
      <c r="E34">
        <v>31</v>
      </c>
      <c r="G34" s="52"/>
      <c r="H34" s="52" t="s">
        <v>294</v>
      </c>
      <c r="I34" s="52" t="s">
        <v>295</v>
      </c>
      <c r="J34" s="52" t="s">
        <v>296</v>
      </c>
      <c r="K34" s="53" t="s">
        <v>297</v>
      </c>
    </row>
    <row r="35" spans="1:11" x14ac:dyDescent="0.45">
      <c r="C35" t="s">
        <v>276</v>
      </c>
      <c r="D35" t="s">
        <v>277</v>
      </c>
      <c r="E35" t="s">
        <v>278</v>
      </c>
      <c r="G35" s="29" t="s">
        <v>276</v>
      </c>
      <c r="H35" s="54">
        <v>100000</v>
      </c>
      <c r="I35" s="55">
        <v>0.2</v>
      </c>
      <c r="J35" s="55">
        <v>0.02</v>
      </c>
      <c r="K35" s="29" t="s">
        <v>298</v>
      </c>
    </row>
    <row r="36" spans="1:11" x14ac:dyDescent="0.45">
      <c r="B36" t="s">
        <v>3</v>
      </c>
      <c r="C36" s="1">
        <f>H35</f>
        <v>100000</v>
      </c>
      <c r="D36" s="1">
        <f>H36</f>
        <v>200000</v>
      </c>
      <c r="E36" s="1">
        <v>0</v>
      </c>
      <c r="G36" s="29" t="s">
        <v>277</v>
      </c>
      <c r="H36" s="54">
        <v>200000</v>
      </c>
      <c r="I36" s="55">
        <v>0.2</v>
      </c>
      <c r="J36" s="55">
        <v>0.02</v>
      </c>
      <c r="K36" s="29" t="s">
        <v>298</v>
      </c>
    </row>
    <row r="37" spans="1:11" x14ac:dyDescent="0.45">
      <c r="B37" t="s">
        <v>299</v>
      </c>
      <c r="C37" s="1">
        <f>C36*I35</f>
        <v>20000</v>
      </c>
      <c r="D37" s="1">
        <f>D36*I36</f>
        <v>40000</v>
      </c>
      <c r="E37" s="1">
        <v>0</v>
      </c>
    </row>
    <row r="38" spans="1:11" x14ac:dyDescent="0.45">
      <c r="B38" t="s">
        <v>300</v>
      </c>
      <c r="C38" s="1">
        <f>C36-C37</f>
        <v>80000</v>
      </c>
      <c r="D38" s="1">
        <f>D36-D37</f>
        <v>160000</v>
      </c>
      <c r="E38" s="1">
        <v>0</v>
      </c>
    </row>
    <row r="39" spans="1:11" x14ac:dyDescent="0.45">
      <c r="B39" t="s">
        <v>301</v>
      </c>
      <c r="C39" s="1">
        <f>C38-J35*C38</f>
        <v>78400</v>
      </c>
      <c r="D39" s="1">
        <f>D38-D38*J36</f>
        <v>156800</v>
      </c>
      <c r="E39" s="1">
        <v>0</v>
      </c>
    </row>
    <row r="40" spans="1:11" x14ac:dyDescent="0.45">
      <c r="B40" t="s">
        <v>302</v>
      </c>
      <c r="C40" s="1">
        <f>C39/C34*(C34-4)</f>
        <v>67946.666666666672</v>
      </c>
      <c r="D40" s="1">
        <f>D39/D34*(D34-4)</f>
        <v>136567.74193548388</v>
      </c>
      <c r="E40" s="1">
        <v>0</v>
      </c>
    </row>
    <row r="41" spans="1:11" x14ac:dyDescent="0.45">
      <c r="B41" t="s">
        <v>303</v>
      </c>
      <c r="C41" s="1">
        <v>0</v>
      </c>
      <c r="D41" s="1">
        <f>C39-C40</f>
        <v>10453.333333333328</v>
      </c>
      <c r="E41" s="1">
        <f>D39-D40</f>
        <v>20232.258064516122</v>
      </c>
    </row>
    <row r="42" spans="1:11" x14ac:dyDescent="0.45">
      <c r="B42" t="s">
        <v>304</v>
      </c>
      <c r="C42" s="15">
        <f>C37+C40+C41</f>
        <v>87946.666666666672</v>
      </c>
      <c r="D42" s="47">
        <f>D37+D40+D41</f>
        <v>187021.07526881719</v>
      </c>
      <c r="E42" s="15">
        <f>E37+E40+E41</f>
        <v>20232.258064516122</v>
      </c>
    </row>
    <row r="45" spans="1:11" s="33" customFormat="1" x14ac:dyDescent="0.45">
      <c r="A45" s="34">
        <v>5</v>
      </c>
    </row>
    <row r="47" spans="1:11" ht="15.75" x14ac:dyDescent="0.5">
      <c r="A47" s="87" t="s">
        <v>308</v>
      </c>
      <c r="B47" s="87" t="s">
        <v>309</v>
      </c>
      <c r="C47" s="87"/>
      <c r="D47" s="116"/>
      <c r="E47" s="88"/>
      <c r="F47" s="88"/>
      <c r="G47" s="88"/>
      <c r="H47" s="88"/>
      <c r="I47" s="88"/>
    </row>
    <row r="48" spans="1:11" ht="15.75" x14ac:dyDescent="0.5">
      <c r="A48" s="88"/>
      <c r="B48" s="88" t="s">
        <v>310</v>
      </c>
      <c r="C48" s="88"/>
      <c r="D48" s="114">
        <v>100000</v>
      </c>
      <c r="E48" s="88"/>
      <c r="F48" s="88"/>
      <c r="G48" s="117" t="s">
        <v>311</v>
      </c>
      <c r="H48" s="114">
        <v>90000</v>
      </c>
      <c r="I48" s="88" t="s">
        <v>312</v>
      </c>
    </row>
    <row r="49" spans="1:9" ht="15.75" x14ac:dyDescent="0.5">
      <c r="A49" s="88"/>
      <c r="B49" s="88" t="s">
        <v>313</v>
      </c>
      <c r="C49" s="88"/>
      <c r="D49" s="118">
        <v>0.25</v>
      </c>
      <c r="E49" s="88"/>
      <c r="F49" s="88"/>
      <c r="G49" s="117" t="s">
        <v>314</v>
      </c>
      <c r="H49" s="114">
        <v>9000</v>
      </c>
      <c r="I49" s="88" t="s">
        <v>312</v>
      </c>
    </row>
    <row r="50" spans="1:9" ht="15.75" x14ac:dyDescent="0.5">
      <c r="A50" s="88"/>
      <c r="B50" s="88" t="s">
        <v>315</v>
      </c>
      <c r="C50" s="88"/>
      <c r="D50" s="118">
        <v>0.04</v>
      </c>
      <c r="E50" s="88"/>
      <c r="F50" s="88"/>
      <c r="G50" s="88" t="s">
        <v>316</v>
      </c>
      <c r="H50" s="113"/>
      <c r="I50" s="88"/>
    </row>
    <row r="51" spans="1:9" ht="15.75" x14ac:dyDescent="0.5">
      <c r="A51" s="88"/>
      <c r="B51" s="88" t="s">
        <v>317</v>
      </c>
      <c r="C51" s="88"/>
      <c r="D51" s="114">
        <v>5</v>
      </c>
      <c r="E51" s="88" t="s">
        <v>318</v>
      </c>
      <c r="F51" s="88"/>
      <c r="G51" s="88"/>
      <c r="H51" s="88"/>
      <c r="I51" s="88"/>
    </row>
    <row r="52" spans="1:9" x14ac:dyDescent="0.45">
      <c r="A52" t="s">
        <v>170</v>
      </c>
    </row>
    <row r="53" spans="1:9" x14ac:dyDescent="0.45">
      <c r="A53" s="17" t="s">
        <v>319</v>
      </c>
      <c r="C53" s="119">
        <v>10000</v>
      </c>
      <c r="D53" t="s">
        <v>274</v>
      </c>
    </row>
    <row r="54" spans="1:9" x14ac:dyDescent="0.45">
      <c r="C54" s="104"/>
    </row>
    <row r="55" spans="1:9" x14ac:dyDescent="0.45">
      <c r="A55" t="s">
        <v>310</v>
      </c>
      <c r="C55" s="104">
        <v>100000</v>
      </c>
    </row>
    <row r="56" spans="1:9" x14ac:dyDescent="0.45">
      <c r="A56" t="s">
        <v>320</v>
      </c>
      <c r="C56" s="104">
        <f>C55*D49</f>
        <v>25000</v>
      </c>
    </row>
    <row r="57" spans="1:9" x14ac:dyDescent="0.45">
      <c r="A57" s="17" t="s">
        <v>321</v>
      </c>
      <c r="C57" s="119">
        <f>C55-C56</f>
        <v>75000</v>
      </c>
      <c r="D57" t="s">
        <v>274</v>
      </c>
    </row>
    <row r="58" spans="1:9" x14ac:dyDescent="0.45">
      <c r="A58" t="s">
        <v>322</v>
      </c>
      <c r="C58" s="104">
        <f>C56*D50</f>
        <v>1000</v>
      </c>
    </row>
    <row r="59" spans="1:9" x14ac:dyDescent="0.45">
      <c r="A59" t="s">
        <v>323</v>
      </c>
      <c r="C59" s="104">
        <f>C56-C58</f>
        <v>24000</v>
      </c>
    </row>
    <row r="60" spans="1:9" x14ac:dyDescent="0.45">
      <c r="A60" s="17" t="s">
        <v>324</v>
      </c>
      <c r="C60" s="119">
        <f>C59/31*(31-5)</f>
        <v>20129.032258064519</v>
      </c>
      <c r="D60" t="s">
        <v>274</v>
      </c>
    </row>
    <row r="61" spans="1:9" x14ac:dyDescent="0.45">
      <c r="A61" t="s">
        <v>325</v>
      </c>
      <c r="C61" s="104">
        <f>C59-C60</f>
        <v>3870.9677419354812</v>
      </c>
    </row>
    <row r="62" spans="1:9" x14ac:dyDescent="0.45">
      <c r="C62" s="104"/>
    </row>
    <row r="63" spans="1:9" x14ac:dyDescent="0.45">
      <c r="A63" s="17" t="s">
        <v>92</v>
      </c>
      <c r="B63" s="17"/>
      <c r="C63" s="119">
        <f>H49</f>
        <v>9000</v>
      </c>
      <c r="D63" t="s">
        <v>275</v>
      </c>
    </row>
    <row r="64" spans="1:9" x14ac:dyDescent="0.45">
      <c r="A64" s="17" t="s">
        <v>86</v>
      </c>
      <c r="B64" s="17"/>
      <c r="C64" s="119">
        <f>H48</f>
        <v>90000</v>
      </c>
      <c r="D64" t="s">
        <v>275</v>
      </c>
    </row>
    <row r="65" spans="1:8" x14ac:dyDescent="0.45">
      <c r="C65" s="104"/>
    </row>
    <row r="66" spans="1:8" x14ac:dyDescent="0.45">
      <c r="A66" s="96" t="s">
        <v>326</v>
      </c>
      <c r="B66" s="96"/>
      <c r="C66" s="120">
        <f>C53+C57+C60-C63-C64</f>
        <v>6129.0322580645152</v>
      </c>
    </row>
    <row r="68" spans="1:8" x14ac:dyDescent="0.45">
      <c r="A68" t="s">
        <v>94</v>
      </c>
      <c r="B68" t="s">
        <v>327</v>
      </c>
    </row>
    <row r="69" spans="1:8" x14ac:dyDescent="0.45">
      <c r="B69" t="s">
        <v>328</v>
      </c>
    </row>
    <row r="70" spans="1:8" x14ac:dyDescent="0.45">
      <c r="B70" t="s">
        <v>329</v>
      </c>
    </row>
    <row r="71" spans="1:8" x14ac:dyDescent="0.45">
      <c r="B71" t="s">
        <v>330</v>
      </c>
    </row>
    <row r="73" spans="1:8" s="33" customFormat="1" x14ac:dyDescent="0.45">
      <c r="A73" s="34">
        <v>6</v>
      </c>
    </row>
    <row r="75" spans="1:8" x14ac:dyDescent="0.45">
      <c r="B75" s="161" t="s">
        <v>331</v>
      </c>
      <c r="C75" s="160"/>
    </row>
    <row r="76" spans="1:8" x14ac:dyDescent="0.45">
      <c r="B76" t="s">
        <v>332</v>
      </c>
    </row>
    <row r="77" spans="1:8" x14ac:dyDescent="0.45">
      <c r="B77" s="462" t="s">
        <v>333</v>
      </c>
      <c r="C77" s="462"/>
      <c r="D77" s="462"/>
      <c r="E77" s="462"/>
      <c r="F77" s="462"/>
      <c r="G77" s="462"/>
      <c r="H77" s="462"/>
    </row>
    <row r="78" spans="1:8" x14ac:dyDescent="0.45">
      <c r="B78" s="462"/>
      <c r="C78" s="462"/>
      <c r="D78" s="462"/>
      <c r="E78" s="462"/>
      <c r="F78" s="462"/>
      <c r="G78" s="462"/>
      <c r="H78" s="462"/>
    </row>
    <row r="79" spans="1:8" x14ac:dyDescent="0.45">
      <c r="B79" s="462" t="s">
        <v>334</v>
      </c>
      <c r="C79" s="462"/>
      <c r="D79" s="462"/>
      <c r="E79" s="462"/>
      <c r="F79" s="462"/>
      <c r="G79" s="462"/>
      <c r="H79" s="462"/>
    </row>
    <row r="80" spans="1:8" x14ac:dyDescent="0.45">
      <c r="B80" s="462"/>
      <c r="C80" s="462"/>
      <c r="D80" s="462"/>
      <c r="E80" s="462"/>
      <c r="F80" s="462"/>
      <c r="G80" s="462"/>
      <c r="H80" s="462"/>
    </row>
    <row r="82" spans="1:6" s="33" customFormat="1" x14ac:dyDescent="0.45">
      <c r="A82" s="34">
        <v>7</v>
      </c>
    </row>
    <row r="84" spans="1:6" ht="14.55" customHeight="1" x14ac:dyDescent="0.45">
      <c r="A84" s="462" t="s">
        <v>363</v>
      </c>
      <c r="B84" s="462"/>
      <c r="C84" s="462"/>
      <c r="D84" s="462"/>
      <c r="E84" s="462"/>
      <c r="F84" s="462"/>
    </row>
    <row r="85" spans="1:6" x14ac:dyDescent="0.45">
      <c r="A85" s="462"/>
      <c r="B85" s="462"/>
      <c r="C85" s="462"/>
      <c r="D85" s="462"/>
      <c r="E85" s="462"/>
      <c r="F85" s="462"/>
    </row>
    <row r="86" spans="1:6" x14ac:dyDescent="0.45">
      <c r="A86" s="462"/>
      <c r="B86" s="462"/>
      <c r="C86" s="462"/>
      <c r="D86" s="462"/>
      <c r="E86" s="462"/>
      <c r="F86" s="462"/>
    </row>
    <row r="87" spans="1:6" x14ac:dyDescent="0.45">
      <c r="A87" s="462"/>
      <c r="B87" s="462"/>
      <c r="C87" s="462"/>
      <c r="D87" s="462"/>
      <c r="E87" s="462"/>
      <c r="F87" s="462"/>
    </row>
    <row r="89" spans="1:6" s="33" customFormat="1" x14ac:dyDescent="0.45">
      <c r="A89" s="330">
        <v>8</v>
      </c>
    </row>
    <row r="91" spans="1:6" x14ac:dyDescent="0.45">
      <c r="A91" t="s">
        <v>782</v>
      </c>
    </row>
    <row r="92" spans="1:6" x14ac:dyDescent="0.45">
      <c r="A92" t="s">
        <v>783</v>
      </c>
    </row>
    <row r="93" spans="1:6" x14ac:dyDescent="0.45">
      <c r="A93" t="s">
        <v>784</v>
      </c>
    </row>
    <row r="94" spans="1:6" x14ac:dyDescent="0.45">
      <c r="A94" t="s">
        <v>785</v>
      </c>
    </row>
    <row r="96" spans="1:6" x14ac:dyDescent="0.45">
      <c r="A96" t="s">
        <v>786</v>
      </c>
    </row>
    <row r="97" spans="1:1" x14ac:dyDescent="0.45">
      <c r="A97" t="s">
        <v>787</v>
      </c>
    </row>
    <row r="99" spans="1:1" s="33" customFormat="1" x14ac:dyDescent="0.45">
      <c r="A99" s="330">
        <v>9</v>
      </c>
    </row>
    <row r="101" spans="1:1" x14ac:dyDescent="0.45">
      <c r="A101" t="s">
        <v>788</v>
      </c>
    </row>
    <row r="103" spans="1:1" x14ac:dyDescent="0.45">
      <c r="A103" t="s">
        <v>789</v>
      </c>
    </row>
    <row r="104" spans="1:1" x14ac:dyDescent="0.45">
      <c r="A104" t="s">
        <v>790</v>
      </c>
    </row>
    <row r="106" spans="1:1" x14ac:dyDescent="0.45">
      <c r="A106" t="s">
        <v>791</v>
      </c>
    </row>
    <row r="107" spans="1:1" x14ac:dyDescent="0.45">
      <c r="A107" t="s">
        <v>792</v>
      </c>
    </row>
    <row r="109" spans="1:1" x14ac:dyDescent="0.45">
      <c r="A109" t="s">
        <v>793</v>
      </c>
    </row>
    <row r="111" spans="1:1" s="33" customFormat="1" x14ac:dyDescent="0.45">
      <c r="A111" s="330">
        <v>10</v>
      </c>
    </row>
    <row r="113" spans="1:4" ht="14.25" customHeight="1" x14ac:dyDescent="0.45">
      <c r="A113" s="465" t="s">
        <v>888</v>
      </c>
      <c r="B113" s="465"/>
      <c r="C113" s="465"/>
      <c r="D113" s="465"/>
    </row>
    <row r="114" spans="1:4" x14ac:dyDescent="0.45">
      <c r="A114" s="465"/>
      <c r="B114" s="465"/>
      <c r="C114" s="465"/>
      <c r="D114" s="465"/>
    </row>
    <row r="115" spans="1:4" x14ac:dyDescent="0.45">
      <c r="A115" s="465"/>
      <c r="B115" s="465"/>
      <c r="C115" s="465"/>
      <c r="D115" s="465"/>
    </row>
    <row r="116" spans="1:4" x14ac:dyDescent="0.45">
      <c r="A116" s="465"/>
      <c r="B116" s="465"/>
      <c r="C116" s="465"/>
      <c r="D116" s="465"/>
    </row>
    <row r="117" spans="1:4" x14ac:dyDescent="0.45">
      <c r="A117" s="465"/>
      <c r="B117" s="465"/>
      <c r="C117" s="465"/>
      <c r="D117" s="465"/>
    </row>
    <row r="118" spans="1:4" x14ac:dyDescent="0.45">
      <c r="A118" s="465"/>
      <c r="B118" s="465"/>
      <c r="C118" s="465"/>
      <c r="D118" s="465"/>
    </row>
    <row r="119" spans="1:4" x14ac:dyDescent="0.45">
      <c r="A119" s="465"/>
      <c r="B119" s="465"/>
      <c r="C119" s="465"/>
      <c r="D119" s="465"/>
    </row>
    <row r="120" spans="1:4" x14ac:dyDescent="0.45">
      <c r="A120" s="465"/>
      <c r="B120" s="465"/>
      <c r="C120" s="465"/>
      <c r="D120" s="465"/>
    </row>
    <row r="122" spans="1:4" s="33" customFormat="1" x14ac:dyDescent="0.45">
      <c r="A122" s="330">
        <v>11</v>
      </c>
    </row>
    <row r="123" spans="1:4" ht="14.65" thickBot="1" x14ac:dyDescent="0.5"/>
    <row r="124" spans="1:4" x14ac:dyDescent="0.45">
      <c r="A124" s="400"/>
      <c r="B124" s="401" t="s">
        <v>889</v>
      </c>
      <c r="C124" s="401" t="s">
        <v>890</v>
      </c>
      <c r="D124" s="402" t="s">
        <v>891</v>
      </c>
    </row>
    <row r="125" spans="1:4" x14ac:dyDescent="0.45">
      <c r="A125" s="403" t="s">
        <v>83</v>
      </c>
      <c r="B125" s="404">
        <v>150000</v>
      </c>
      <c r="C125" s="404">
        <v>200000</v>
      </c>
      <c r="D125" s="405">
        <v>240000</v>
      </c>
    </row>
    <row r="126" spans="1:4" ht="14.65" thickBot="1" x14ac:dyDescent="0.5">
      <c r="A126" s="406" t="s">
        <v>892</v>
      </c>
      <c r="B126" s="407">
        <v>6</v>
      </c>
      <c r="C126" s="407">
        <v>6</v>
      </c>
      <c r="D126" s="408">
        <v>6</v>
      </c>
    </row>
    <row r="127" spans="1:4" ht="14.65" thickBot="1" x14ac:dyDescent="0.5">
      <c r="A127" s="38" t="s">
        <v>893</v>
      </c>
    </row>
    <row r="128" spans="1:4" x14ac:dyDescent="0.45">
      <c r="B128" s="401" t="s">
        <v>889</v>
      </c>
      <c r="C128" s="401" t="s">
        <v>890</v>
      </c>
      <c r="D128" s="402" t="s">
        <v>891</v>
      </c>
    </row>
    <row r="129" spans="1:4" x14ac:dyDescent="0.45">
      <c r="A129" s="17" t="s">
        <v>896</v>
      </c>
      <c r="B129" s="409">
        <v>31</v>
      </c>
      <c r="C129" s="409">
        <v>30</v>
      </c>
      <c r="D129" s="409">
        <v>31</v>
      </c>
    </row>
    <row r="130" spans="1:4" x14ac:dyDescent="0.45">
      <c r="A130" s="17" t="s">
        <v>13</v>
      </c>
      <c r="B130" s="1">
        <f>B125*30%</f>
        <v>45000</v>
      </c>
      <c r="C130" s="1">
        <f>C125*30%</f>
        <v>60000</v>
      </c>
      <c r="D130" s="1">
        <f>D125*30%</f>
        <v>72000</v>
      </c>
    </row>
    <row r="131" spans="1:4" x14ac:dyDescent="0.45">
      <c r="A131" s="17" t="s">
        <v>894</v>
      </c>
      <c r="B131" s="1">
        <f>B125-B130</f>
        <v>105000</v>
      </c>
      <c r="C131" s="1">
        <f>C125-C130</f>
        <v>140000</v>
      </c>
      <c r="D131" s="1">
        <f>D125-D130</f>
        <v>168000</v>
      </c>
    </row>
    <row r="132" spans="1:4" x14ac:dyDescent="0.45">
      <c r="A132" s="17" t="s">
        <v>895</v>
      </c>
      <c r="B132" s="1">
        <f>B131/B129</f>
        <v>3387.0967741935483</v>
      </c>
      <c r="C132" s="1">
        <f>C131/C129</f>
        <v>4666.666666666667</v>
      </c>
      <c r="D132" s="1">
        <f>D131/D129</f>
        <v>5419.3548387096771</v>
      </c>
    </row>
    <row r="133" spans="1:4" x14ac:dyDescent="0.45">
      <c r="A133" s="17" t="s">
        <v>897</v>
      </c>
      <c r="B133" s="1">
        <f>B132*(B129-B126)</f>
        <v>84677.419354838712</v>
      </c>
      <c r="C133" s="1">
        <f>C132*(C129-C126)</f>
        <v>112000</v>
      </c>
      <c r="D133" s="1">
        <f>D132*(D129-D126)</f>
        <v>135483.87096774194</v>
      </c>
    </row>
    <row r="134" spans="1:4" x14ac:dyDescent="0.45">
      <c r="A134" s="17" t="s">
        <v>898</v>
      </c>
      <c r="B134" s="1">
        <v>0</v>
      </c>
      <c r="C134" s="1">
        <f>B131-B133</f>
        <v>20322.580645161288</v>
      </c>
      <c r="D134" s="1">
        <f>C131-C133</f>
        <v>28000</v>
      </c>
    </row>
    <row r="135" spans="1:4" x14ac:dyDescent="0.45">
      <c r="A135" s="17" t="s">
        <v>899</v>
      </c>
      <c r="B135" s="398">
        <f>B130+B133+B134</f>
        <v>129677.41935483871</v>
      </c>
      <c r="C135" s="332">
        <f>C130+C133+C134</f>
        <v>192322.58064516127</v>
      </c>
      <c r="D135" s="332">
        <f>D130+D133+D134</f>
        <v>235483.87096774194</v>
      </c>
    </row>
    <row r="137" spans="1:4" s="33" customFormat="1" x14ac:dyDescent="0.45">
      <c r="A137" s="330">
        <v>12</v>
      </c>
    </row>
    <row r="139" spans="1:4" x14ac:dyDescent="0.45">
      <c r="A139" s="463" t="s">
        <v>1005</v>
      </c>
      <c r="B139" s="463"/>
      <c r="C139" s="463"/>
    </row>
    <row r="140" spans="1:4" x14ac:dyDescent="0.45">
      <c r="A140" s="463"/>
      <c r="B140" s="463"/>
      <c r="C140" s="463"/>
    </row>
    <row r="141" spans="1:4" x14ac:dyDescent="0.45">
      <c r="A141" s="463"/>
      <c r="B141" s="463"/>
      <c r="C141" s="463"/>
    </row>
    <row r="142" spans="1:4" x14ac:dyDescent="0.45">
      <c r="A142" s="463"/>
      <c r="B142" s="463"/>
      <c r="C142" s="463"/>
    </row>
    <row r="143" spans="1:4" x14ac:dyDescent="0.45">
      <c r="A143" s="463"/>
      <c r="B143" s="463"/>
      <c r="C143" s="463"/>
    </row>
    <row r="144" spans="1:4" x14ac:dyDescent="0.45">
      <c r="A144" s="463"/>
      <c r="B144" s="463"/>
      <c r="C144" s="463"/>
    </row>
    <row r="146" spans="1:3" x14ac:dyDescent="0.45">
      <c r="A146" t="s">
        <v>1006</v>
      </c>
    </row>
    <row r="148" spans="1:3" x14ac:dyDescent="0.45">
      <c r="B148" s="443">
        <v>44926</v>
      </c>
      <c r="C148" s="443">
        <v>45291</v>
      </c>
    </row>
    <row r="149" spans="1:3" x14ac:dyDescent="0.45">
      <c r="A149" t="s">
        <v>1001</v>
      </c>
      <c r="B149" s="208">
        <v>1250000</v>
      </c>
      <c r="C149" s="208">
        <v>1725000</v>
      </c>
    </row>
    <row r="150" spans="1:3" x14ac:dyDescent="0.45">
      <c r="A150" t="s">
        <v>998</v>
      </c>
      <c r="B150" s="208">
        <v>125000</v>
      </c>
      <c r="C150" s="208">
        <v>125000</v>
      </c>
    </row>
    <row r="152" spans="1:3" x14ac:dyDescent="0.45">
      <c r="A152" t="s">
        <v>1007</v>
      </c>
    </row>
    <row r="153" spans="1:3" x14ac:dyDescent="0.45">
      <c r="A153" s="446">
        <f>B149-C150</f>
        <v>1125000</v>
      </c>
    </row>
    <row r="154" spans="1:3" x14ac:dyDescent="0.45">
      <c r="A154" t="s">
        <v>1008</v>
      </c>
    </row>
    <row r="155" spans="1:3" x14ac:dyDescent="0.45">
      <c r="A155" s="446">
        <f>C149</f>
        <v>1725000</v>
      </c>
    </row>
    <row r="156" spans="1:3" x14ac:dyDescent="0.45">
      <c r="A156" t="s">
        <v>1009</v>
      </c>
    </row>
    <row r="157" spans="1:3" x14ac:dyDescent="0.45">
      <c r="A157" s="447">
        <f>A155-A153</f>
        <v>600000</v>
      </c>
    </row>
    <row r="159" spans="1:3" x14ac:dyDescent="0.45">
      <c r="A159" t="s">
        <v>1010</v>
      </c>
    </row>
    <row r="161" spans="1:7" x14ac:dyDescent="0.45">
      <c r="B161" s="443">
        <v>44926</v>
      </c>
      <c r="C161" s="443">
        <v>45291</v>
      </c>
    </row>
    <row r="162" spans="1:7" x14ac:dyDescent="0.45">
      <c r="A162" t="s">
        <v>987</v>
      </c>
      <c r="B162" s="208">
        <v>36180</v>
      </c>
      <c r="C162" s="208">
        <v>56620</v>
      </c>
    </row>
    <row r="163" spans="1:7" x14ac:dyDescent="0.45">
      <c r="A163" t="s">
        <v>1011</v>
      </c>
      <c r="B163" s="447">
        <f>C162-B162</f>
        <v>20440</v>
      </c>
    </row>
    <row r="165" spans="1:7" s="33" customFormat="1" x14ac:dyDescent="0.45">
      <c r="A165" s="330">
        <v>13</v>
      </c>
    </row>
    <row r="167" spans="1:7" x14ac:dyDescent="0.45">
      <c r="B167" t="s">
        <v>889</v>
      </c>
      <c r="C167" t="s">
        <v>890</v>
      </c>
      <c r="D167" t="s">
        <v>891</v>
      </c>
      <c r="E167" t="s">
        <v>276</v>
      </c>
      <c r="F167" t="s">
        <v>277</v>
      </c>
      <c r="G167" t="s">
        <v>278</v>
      </c>
    </row>
    <row r="168" spans="1:7" x14ac:dyDescent="0.45">
      <c r="A168" t="s">
        <v>924</v>
      </c>
      <c r="B168">
        <v>31</v>
      </c>
      <c r="C168">
        <v>30</v>
      </c>
      <c r="D168">
        <v>31</v>
      </c>
      <c r="E168">
        <v>30</v>
      </c>
      <c r="F168">
        <v>31</v>
      </c>
      <c r="G168">
        <v>31</v>
      </c>
    </row>
    <row r="169" spans="1:7" x14ac:dyDescent="0.45">
      <c r="A169" t="s">
        <v>925</v>
      </c>
      <c r="B169">
        <v>18600</v>
      </c>
      <c r="C169">
        <v>24000</v>
      </c>
      <c r="D169">
        <v>34100</v>
      </c>
      <c r="E169">
        <v>37500</v>
      </c>
      <c r="F169">
        <v>41850</v>
      </c>
      <c r="G169">
        <v>43400</v>
      </c>
    </row>
    <row r="170" spans="1:7" x14ac:dyDescent="0.45">
      <c r="A170" t="s">
        <v>926</v>
      </c>
      <c r="B170">
        <v>14</v>
      </c>
      <c r="C170">
        <v>14</v>
      </c>
      <c r="D170">
        <v>14</v>
      </c>
      <c r="E170">
        <v>14</v>
      </c>
      <c r="F170">
        <v>14</v>
      </c>
      <c r="G170">
        <v>14</v>
      </c>
    </row>
    <row r="171" spans="1:7" x14ac:dyDescent="0.45">
      <c r="A171" t="s">
        <v>919</v>
      </c>
      <c r="B171">
        <f t="shared" ref="B171:G171" si="0">B168-B170</f>
        <v>17</v>
      </c>
      <c r="C171">
        <f t="shared" si="0"/>
        <v>16</v>
      </c>
      <c r="D171">
        <f t="shared" si="0"/>
        <v>17</v>
      </c>
      <c r="E171">
        <f t="shared" si="0"/>
        <v>16</v>
      </c>
      <c r="F171">
        <f t="shared" si="0"/>
        <v>17</v>
      </c>
      <c r="G171">
        <f t="shared" si="0"/>
        <v>17</v>
      </c>
    </row>
    <row r="172" spans="1:7" x14ac:dyDescent="0.45">
      <c r="A172" t="s">
        <v>920</v>
      </c>
      <c r="B172">
        <f t="shared" ref="B172:G172" si="1">B169/B168</f>
        <v>600</v>
      </c>
      <c r="C172">
        <f t="shared" si="1"/>
        <v>800</v>
      </c>
      <c r="D172">
        <f t="shared" si="1"/>
        <v>1100</v>
      </c>
      <c r="E172">
        <f t="shared" si="1"/>
        <v>1250</v>
      </c>
      <c r="F172">
        <f t="shared" si="1"/>
        <v>1350</v>
      </c>
      <c r="G172">
        <f t="shared" si="1"/>
        <v>1400</v>
      </c>
    </row>
    <row r="173" spans="1:7" x14ac:dyDescent="0.45">
      <c r="A173" t="s">
        <v>921</v>
      </c>
      <c r="B173">
        <f t="shared" ref="B173:G173" si="2">B172*B170</f>
        <v>8400</v>
      </c>
      <c r="C173">
        <f t="shared" si="2"/>
        <v>11200</v>
      </c>
      <c r="D173">
        <f t="shared" si="2"/>
        <v>15400</v>
      </c>
      <c r="E173">
        <f t="shared" si="2"/>
        <v>17500</v>
      </c>
      <c r="F173">
        <f t="shared" si="2"/>
        <v>18900</v>
      </c>
      <c r="G173">
        <f t="shared" si="2"/>
        <v>19600</v>
      </c>
    </row>
    <row r="174" spans="1:7" x14ac:dyDescent="0.45">
      <c r="A174" t="s">
        <v>922</v>
      </c>
      <c r="B174">
        <f t="shared" ref="B174:G174" si="3">B172*B171</f>
        <v>10200</v>
      </c>
      <c r="C174">
        <f t="shared" si="3"/>
        <v>12800</v>
      </c>
      <c r="D174">
        <f t="shared" si="3"/>
        <v>18700</v>
      </c>
      <c r="E174">
        <f t="shared" si="3"/>
        <v>20000</v>
      </c>
      <c r="F174">
        <f t="shared" si="3"/>
        <v>22950</v>
      </c>
      <c r="G174">
        <f t="shared" si="3"/>
        <v>23800</v>
      </c>
    </row>
    <row r="175" spans="1:7" x14ac:dyDescent="0.45">
      <c r="A175" t="s">
        <v>923</v>
      </c>
      <c r="B175" s="333">
        <f>B174</f>
        <v>10200</v>
      </c>
      <c r="C175" s="333">
        <f>C174+B173</f>
        <v>21200</v>
      </c>
      <c r="D175" s="333">
        <f>D174+C173</f>
        <v>29900</v>
      </c>
      <c r="E175">
        <f>E174+D173</f>
        <v>35400</v>
      </c>
      <c r="F175">
        <f>F174+E173</f>
        <v>40450</v>
      </c>
      <c r="G175">
        <f>G174+F173</f>
        <v>42700</v>
      </c>
    </row>
    <row r="177" spans="1:3" s="33" customFormat="1" x14ac:dyDescent="0.45">
      <c r="A177" s="330">
        <v>14</v>
      </c>
    </row>
    <row r="179" spans="1:3" x14ac:dyDescent="0.45">
      <c r="A179" s="465" t="s">
        <v>1065</v>
      </c>
      <c r="B179" s="465"/>
      <c r="C179" s="465"/>
    </row>
    <row r="180" spans="1:3" x14ac:dyDescent="0.45">
      <c r="A180" s="465"/>
      <c r="B180" s="465"/>
      <c r="C180" s="465"/>
    </row>
    <row r="181" spans="1:3" x14ac:dyDescent="0.45">
      <c r="A181" s="465"/>
      <c r="B181" s="465"/>
      <c r="C181" s="465"/>
    </row>
    <row r="182" spans="1:3" x14ac:dyDescent="0.45">
      <c r="A182" s="465"/>
      <c r="B182" s="465"/>
      <c r="C182" s="465"/>
    </row>
    <row r="184" spans="1:3" ht="14.25" customHeight="1" x14ac:dyDescent="0.45">
      <c r="A184" s="465" t="s">
        <v>1066</v>
      </c>
      <c r="B184" s="465"/>
      <c r="C184" s="465"/>
    </row>
    <row r="185" spans="1:3" x14ac:dyDescent="0.45">
      <c r="A185" s="465"/>
      <c r="B185" s="465"/>
      <c r="C185" s="465"/>
    </row>
    <row r="186" spans="1:3" x14ac:dyDescent="0.45">
      <c r="A186" s="465"/>
      <c r="B186" s="465"/>
      <c r="C186" s="465"/>
    </row>
    <row r="187" spans="1:3" x14ac:dyDescent="0.45">
      <c r="A187" s="465"/>
      <c r="B187" s="465"/>
      <c r="C187" s="465"/>
    </row>
    <row r="188" spans="1:3" x14ac:dyDescent="0.45">
      <c r="A188" s="465"/>
      <c r="B188" s="465"/>
      <c r="C188" s="465"/>
    </row>
    <row r="189" spans="1:3" x14ac:dyDescent="0.45">
      <c r="A189" s="465"/>
      <c r="B189" s="465"/>
      <c r="C189" s="465"/>
    </row>
    <row r="190" spans="1:3" x14ac:dyDescent="0.45">
      <c r="A190" s="465"/>
      <c r="B190" s="465"/>
      <c r="C190" s="465"/>
    </row>
    <row r="191" spans="1:3" x14ac:dyDescent="0.45">
      <c r="A191" s="465"/>
      <c r="B191" s="465"/>
      <c r="C191" s="465"/>
    </row>
    <row r="193" spans="1:4" s="33" customFormat="1" x14ac:dyDescent="0.45">
      <c r="A193" s="330">
        <v>15</v>
      </c>
    </row>
    <row r="195" spans="1:4" x14ac:dyDescent="0.45">
      <c r="A195" s="462" t="s">
        <v>1154</v>
      </c>
      <c r="B195" s="462"/>
      <c r="C195" s="462"/>
    </row>
    <row r="196" spans="1:4" x14ac:dyDescent="0.45">
      <c r="A196" s="462"/>
      <c r="B196" s="462"/>
      <c r="C196" s="462"/>
    </row>
    <row r="197" spans="1:4" x14ac:dyDescent="0.45">
      <c r="A197" s="462"/>
      <c r="B197" s="462"/>
      <c r="C197" s="462"/>
    </row>
    <row r="199" spans="1:4" x14ac:dyDescent="0.45">
      <c r="A199" s="442" t="s">
        <v>94</v>
      </c>
    </row>
    <row r="200" spans="1:4" x14ac:dyDescent="0.45">
      <c r="A200" t="s">
        <v>1155</v>
      </c>
    </row>
    <row r="202" spans="1:4" x14ac:dyDescent="0.45">
      <c r="A202" s="462" t="s">
        <v>1156</v>
      </c>
      <c r="B202" s="462"/>
      <c r="C202" s="462"/>
      <c r="D202" s="462"/>
    </row>
    <row r="203" spans="1:4" x14ac:dyDescent="0.45">
      <c r="A203" s="462"/>
      <c r="B203" s="462"/>
      <c r="C203" s="462"/>
      <c r="D203" s="462"/>
    </row>
    <row r="204" spans="1:4" x14ac:dyDescent="0.45">
      <c r="A204" s="462"/>
      <c r="B204" s="462"/>
      <c r="C204" s="462"/>
      <c r="D204" s="462"/>
    </row>
    <row r="206" spans="1:4" x14ac:dyDescent="0.45">
      <c r="A206" s="462" t="s">
        <v>1157</v>
      </c>
      <c r="B206" s="462"/>
      <c r="C206" s="462"/>
      <c r="D206" s="462"/>
    </row>
    <row r="207" spans="1:4" x14ac:dyDescent="0.45">
      <c r="A207" s="462"/>
      <c r="B207" s="462"/>
      <c r="C207" s="462"/>
      <c r="D207" s="462"/>
    </row>
    <row r="208" spans="1:4" x14ac:dyDescent="0.45">
      <c r="A208" s="462"/>
      <c r="B208" s="462"/>
      <c r="C208" s="462"/>
      <c r="D208" s="462"/>
    </row>
    <row r="210" spans="1:4" x14ac:dyDescent="0.45">
      <c r="A210" t="s">
        <v>1158</v>
      </c>
    </row>
    <row r="212" spans="1:4" x14ac:dyDescent="0.45">
      <c r="A212" s="462" t="s">
        <v>1159</v>
      </c>
      <c r="B212" s="462"/>
      <c r="C212" s="462"/>
      <c r="D212" s="462"/>
    </row>
    <row r="213" spans="1:4" x14ac:dyDescent="0.45">
      <c r="A213" s="462"/>
      <c r="B213" s="462"/>
      <c r="C213" s="462"/>
      <c r="D213" s="462"/>
    </row>
    <row r="214" spans="1:4" x14ac:dyDescent="0.45">
      <c r="A214" s="462"/>
      <c r="B214" s="462"/>
      <c r="C214" s="462"/>
      <c r="D214" s="462"/>
    </row>
  </sheetData>
  <mergeCells count="13">
    <mergeCell ref="A202:D204"/>
    <mergeCell ref="A206:D208"/>
    <mergeCell ref="A212:D214"/>
    <mergeCell ref="B79:H80"/>
    <mergeCell ref="C21:H22"/>
    <mergeCell ref="A25:F29"/>
    <mergeCell ref="B77:H78"/>
    <mergeCell ref="A195:C197"/>
    <mergeCell ref="A179:C182"/>
    <mergeCell ref="A184:C191"/>
    <mergeCell ref="A139:C144"/>
    <mergeCell ref="A113:D120"/>
    <mergeCell ref="A84:F87"/>
  </mergeCells>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97"/>
  <sheetViews>
    <sheetView topLeftCell="A25" workbookViewId="0">
      <selection activeCell="J397" sqref="J397"/>
    </sheetView>
  </sheetViews>
  <sheetFormatPr defaultRowHeight="14.25" x14ac:dyDescent="0.45"/>
  <cols>
    <col min="1" max="1" width="24.59765625" customWidth="1"/>
    <col min="2" max="2" width="12.53125" bestFit="1" customWidth="1"/>
    <col min="3" max="3" width="20.265625" customWidth="1"/>
    <col min="4" max="4" width="14.796875" customWidth="1"/>
    <col min="5" max="5" width="16.46484375" customWidth="1"/>
    <col min="6" max="6" width="12.53125" bestFit="1" customWidth="1"/>
    <col min="7" max="7" width="11.19921875" bestFit="1" customWidth="1"/>
    <col min="8" max="8" width="12.53125" bestFit="1" customWidth="1"/>
    <col min="9" max="9" width="15.06640625" customWidth="1"/>
    <col min="10" max="10" width="11.19921875" bestFit="1" customWidth="1"/>
    <col min="11" max="11" width="12.53125" bestFit="1" customWidth="1"/>
  </cols>
  <sheetData>
    <row r="1" spans="1:13" s="33" customFormat="1" x14ac:dyDescent="0.45">
      <c r="A1" s="34">
        <v>1</v>
      </c>
    </row>
    <row r="2" spans="1:13" x14ac:dyDescent="0.45">
      <c r="A2" t="s">
        <v>364</v>
      </c>
      <c r="B2">
        <v>400</v>
      </c>
    </row>
    <row r="4" spans="1:13" x14ac:dyDescent="0.45">
      <c r="A4" t="s">
        <v>365</v>
      </c>
      <c r="B4" s="210">
        <v>0.12</v>
      </c>
    </row>
    <row r="6" spans="1:13" x14ac:dyDescent="0.45">
      <c r="A6" t="s">
        <v>366</v>
      </c>
      <c r="B6" s="211">
        <f>B2*(1+B4)^7</f>
        <v>884.2725629624324</v>
      </c>
    </row>
    <row r="8" spans="1:13" x14ac:dyDescent="0.45">
      <c r="A8" t="s">
        <v>367</v>
      </c>
      <c r="B8" s="211">
        <f>B6-B2</f>
        <v>484.2725629624324</v>
      </c>
    </row>
    <row r="10" spans="1:13" s="33" customFormat="1" x14ac:dyDescent="0.45">
      <c r="A10" s="34">
        <v>2</v>
      </c>
    </row>
    <row r="11" spans="1:13" x14ac:dyDescent="0.45">
      <c r="B11" s="485" t="s">
        <v>368</v>
      </c>
      <c r="C11" s="485"/>
      <c r="D11" s="485"/>
      <c r="E11" s="485"/>
      <c r="F11" s="485"/>
      <c r="G11" s="485"/>
      <c r="H11" s="485"/>
    </row>
    <row r="12" spans="1:13" x14ac:dyDescent="0.45">
      <c r="B12" s="485"/>
      <c r="C12" s="485"/>
      <c r="D12" s="485"/>
      <c r="E12" s="485"/>
      <c r="F12" s="485"/>
      <c r="G12" s="485"/>
      <c r="H12" s="485"/>
    </row>
    <row r="13" spans="1:13" x14ac:dyDescent="0.45">
      <c r="A13" s="1" t="s">
        <v>369</v>
      </c>
      <c r="B13" s="1" t="s">
        <v>370</v>
      </c>
      <c r="C13" s="1" t="s">
        <v>371</v>
      </c>
      <c r="D13" s="1" t="s">
        <v>372</v>
      </c>
      <c r="E13" s="1" t="s">
        <v>373</v>
      </c>
      <c r="F13" s="1" t="s">
        <v>374</v>
      </c>
      <c r="G13" s="1"/>
      <c r="H13" s="1">
        <v>6000000</v>
      </c>
    </row>
    <row r="14" spans="1:13" x14ac:dyDescent="0.45">
      <c r="A14" s="1"/>
      <c r="B14" s="39">
        <f>H13/14*10</f>
        <v>4285714.2857142854</v>
      </c>
      <c r="C14" s="1">
        <v>0.03</v>
      </c>
      <c r="D14" s="39">
        <f>H13-B14</f>
        <v>1714285.7142857146</v>
      </c>
      <c r="E14" s="1">
        <v>0.06</v>
      </c>
      <c r="F14" s="1"/>
      <c r="G14" s="1"/>
      <c r="H14" s="1"/>
    </row>
    <row r="15" spans="1:13" ht="14.55" customHeight="1" x14ac:dyDescent="0.45">
      <c r="A15" s="1" t="s">
        <v>375</v>
      </c>
      <c r="B15" s="1"/>
      <c r="C15" s="1"/>
      <c r="D15" s="1"/>
      <c r="E15" s="1"/>
      <c r="F15" s="1"/>
      <c r="G15" s="1"/>
      <c r="H15" s="1"/>
      <c r="I15" s="489" t="s">
        <v>376</v>
      </c>
      <c r="J15" s="489"/>
      <c r="K15" s="489"/>
      <c r="L15" s="489"/>
      <c r="M15" s="489"/>
    </row>
    <row r="16" spans="1:13" x14ac:dyDescent="0.45">
      <c r="A16" s="1" t="s">
        <v>377</v>
      </c>
      <c r="B16" s="1">
        <f>B14/(B14+D14)</f>
        <v>0.71428571428571419</v>
      </c>
      <c r="C16" s="1"/>
      <c r="D16" s="1">
        <f>D14/(D14+B14)</f>
        <v>0.28571428571428575</v>
      </c>
      <c r="E16" s="1"/>
      <c r="F16" s="1"/>
      <c r="G16" s="1"/>
      <c r="H16" s="1"/>
      <c r="I16" s="489"/>
      <c r="J16" s="489"/>
      <c r="K16" s="489"/>
      <c r="L16" s="489"/>
      <c r="M16" s="489"/>
    </row>
    <row r="17" spans="1:13" x14ac:dyDescent="0.45">
      <c r="A17" s="1" t="s">
        <v>378</v>
      </c>
      <c r="B17" s="1">
        <f>B16*C14</f>
        <v>2.1428571428571425E-2</v>
      </c>
      <c r="C17" s="1"/>
      <c r="D17" s="1">
        <f>D16*E14</f>
        <v>1.7142857142857144E-2</v>
      </c>
      <c r="E17" s="1"/>
      <c r="F17" s="1"/>
      <c r="G17" s="1"/>
      <c r="H17" s="1"/>
      <c r="I17" s="489"/>
      <c r="J17" s="489"/>
      <c r="K17" s="489"/>
      <c r="L17" s="489"/>
      <c r="M17" s="489"/>
    </row>
    <row r="18" spans="1:13" x14ac:dyDescent="0.45">
      <c r="A18" s="1" t="s">
        <v>379</v>
      </c>
      <c r="B18" s="1"/>
      <c r="C18" s="1"/>
      <c r="D18" s="1">
        <f>D17*0.79</f>
        <v>1.3542857142857145E-2</v>
      </c>
      <c r="E18" s="1"/>
      <c r="F18" s="1"/>
      <c r="G18" s="1"/>
      <c r="H18" s="1"/>
      <c r="I18" s="489"/>
      <c r="J18" s="489"/>
      <c r="K18" s="489"/>
      <c r="L18" s="489"/>
      <c r="M18" s="489"/>
    </row>
    <row r="19" spans="1:13" x14ac:dyDescent="0.45">
      <c r="A19" s="1">
        <f>D14/B14</f>
        <v>0.40000000000000008</v>
      </c>
      <c r="B19" s="1" t="s">
        <v>380</v>
      </c>
      <c r="C19" s="1"/>
      <c r="D19" s="1"/>
      <c r="E19" s="1"/>
      <c r="F19" s="1"/>
      <c r="G19" s="1"/>
      <c r="H19" s="1"/>
      <c r="I19" s="489"/>
      <c r="J19" s="489"/>
      <c r="K19" s="489"/>
      <c r="L19" s="489"/>
      <c r="M19" s="489"/>
    </row>
    <row r="20" spans="1:13" x14ac:dyDescent="0.45">
      <c r="A20" s="1"/>
      <c r="B20" s="1" t="s">
        <v>381</v>
      </c>
      <c r="C20" s="212">
        <f>B17+D18</f>
        <v>3.497142857142857E-2</v>
      </c>
      <c r="D20" s="1"/>
      <c r="E20" s="1"/>
      <c r="F20" s="1"/>
      <c r="G20" s="1"/>
      <c r="H20" s="1"/>
      <c r="I20" s="489"/>
      <c r="J20" s="489"/>
      <c r="K20" s="489"/>
      <c r="L20" s="489"/>
      <c r="M20" s="489"/>
    </row>
    <row r="21" spans="1:13" x14ac:dyDescent="0.45">
      <c r="A21" s="1"/>
      <c r="B21" s="1"/>
      <c r="C21" s="1"/>
      <c r="D21" s="1"/>
      <c r="E21" s="1"/>
      <c r="F21" s="1"/>
      <c r="G21" s="1"/>
      <c r="H21" s="1"/>
      <c r="I21" s="489"/>
      <c r="J21" s="489"/>
      <c r="K21" s="489"/>
      <c r="L21" s="489"/>
      <c r="M21" s="489"/>
    </row>
    <row r="22" spans="1:13" x14ac:dyDescent="0.45">
      <c r="A22" t="s">
        <v>382</v>
      </c>
    </row>
    <row r="24" spans="1:13" s="33" customFormat="1" x14ac:dyDescent="0.45">
      <c r="A24" s="34">
        <v>3</v>
      </c>
    </row>
    <row r="25" spans="1:13" x14ac:dyDescent="0.45">
      <c r="A25" t="s">
        <v>383</v>
      </c>
    </row>
    <row r="26" spans="1:13" x14ac:dyDescent="0.45">
      <c r="A26" s="213"/>
      <c r="B26" s="213"/>
      <c r="C26" s="213"/>
      <c r="D26" s="213"/>
      <c r="E26" s="213"/>
      <c r="F26" s="213"/>
      <c r="G26" s="31" t="s">
        <v>384</v>
      </c>
    </row>
    <row r="27" spans="1:13" x14ac:dyDescent="0.45">
      <c r="A27" s="214" t="s">
        <v>385</v>
      </c>
      <c r="B27" s="99">
        <f>1*0.01</f>
        <v>0.01</v>
      </c>
      <c r="C27" s="213"/>
      <c r="D27" s="213" t="s">
        <v>381</v>
      </c>
      <c r="E27" s="215">
        <f>B27*0.65</f>
        <v>6.5000000000000006E-3</v>
      </c>
      <c r="F27" s="213"/>
    </row>
    <row r="28" spans="1:13" x14ac:dyDescent="0.45">
      <c r="A28" s="214" t="s">
        <v>386</v>
      </c>
      <c r="B28" s="42">
        <f>1*7.2%</f>
        <v>7.2000000000000008E-2</v>
      </c>
      <c r="C28" s="213"/>
      <c r="D28" s="213" t="s">
        <v>381</v>
      </c>
      <c r="E28" s="215">
        <f>B28*0.65</f>
        <v>4.6800000000000008E-2</v>
      </c>
      <c r="F28" s="213"/>
      <c r="G28" s="31" t="s">
        <v>387</v>
      </c>
    </row>
    <row r="29" spans="1:13" x14ac:dyDescent="0.45">
      <c r="A29" s="214" t="s">
        <v>388</v>
      </c>
      <c r="B29" s="99">
        <f>1*0.15</f>
        <v>0.15</v>
      </c>
      <c r="C29" s="213"/>
      <c r="D29" s="213" t="s">
        <v>381</v>
      </c>
      <c r="E29" s="215">
        <f>B29*0.65</f>
        <v>9.7500000000000003E-2</v>
      </c>
      <c r="F29" s="213"/>
    </row>
    <row r="30" spans="1:13" x14ac:dyDescent="0.45">
      <c r="A30" s="216" t="s">
        <v>372</v>
      </c>
      <c r="B30" s="217">
        <f>1*0.11</f>
        <v>0.11</v>
      </c>
      <c r="C30" s="218"/>
      <c r="D30" s="218" t="s">
        <v>381</v>
      </c>
      <c r="E30" s="219">
        <f>B30*0.65</f>
        <v>7.1500000000000008E-2</v>
      </c>
      <c r="F30" s="213"/>
    </row>
    <row r="32" spans="1:13" s="33" customFormat="1" x14ac:dyDescent="0.45">
      <c r="A32" s="34">
        <v>4</v>
      </c>
    </row>
    <row r="34" spans="1:12" x14ac:dyDescent="0.45">
      <c r="A34" s="490" t="s">
        <v>389</v>
      </c>
      <c r="B34" s="491"/>
      <c r="C34" s="491"/>
      <c r="D34" s="491"/>
      <c r="E34" s="491"/>
      <c r="F34" s="491"/>
      <c r="G34" s="491"/>
      <c r="H34" s="491"/>
      <c r="I34" s="491"/>
      <c r="J34" s="491"/>
      <c r="K34" s="491"/>
      <c r="L34" s="492"/>
    </row>
    <row r="35" spans="1:12" x14ac:dyDescent="0.45">
      <c r="A35" s="493"/>
      <c r="B35" s="494"/>
      <c r="C35" s="494"/>
      <c r="D35" s="494"/>
      <c r="E35" s="494"/>
      <c r="F35" s="494"/>
      <c r="G35" s="494"/>
      <c r="H35" s="494"/>
      <c r="I35" s="494"/>
      <c r="J35" s="494"/>
      <c r="K35" s="494"/>
      <c r="L35" s="495"/>
    </row>
    <row r="36" spans="1:12" ht="40.5" customHeight="1" x14ac:dyDescent="0.45">
      <c r="A36" s="496"/>
      <c r="B36" s="497"/>
      <c r="C36" s="497"/>
      <c r="D36" s="497"/>
      <c r="E36" s="497"/>
      <c r="F36" s="497"/>
      <c r="G36" s="497"/>
      <c r="H36" s="497"/>
      <c r="I36" s="497"/>
      <c r="J36" s="497"/>
      <c r="K36" s="497"/>
      <c r="L36" s="498"/>
    </row>
    <row r="37" spans="1:12" x14ac:dyDescent="0.45">
      <c r="A37" s="499" t="s">
        <v>390</v>
      </c>
      <c r="B37" s="500"/>
      <c r="C37" s="500"/>
      <c r="D37" s="500"/>
      <c r="E37" s="500"/>
      <c r="F37" s="500"/>
      <c r="G37" s="500"/>
      <c r="H37" s="500"/>
      <c r="I37" s="500"/>
      <c r="J37" s="500"/>
      <c r="K37" s="500"/>
      <c r="L37" s="501"/>
    </row>
    <row r="38" spans="1:12" x14ac:dyDescent="0.45">
      <c r="A38" s="502"/>
      <c r="B38" s="503"/>
      <c r="C38" s="503"/>
      <c r="D38" s="503"/>
      <c r="E38" s="503"/>
      <c r="F38" s="503"/>
      <c r="G38" s="503"/>
      <c r="H38" s="503"/>
      <c r="I38" s="503"/>
      <c r="J38" s="503"/>
      <c r="K38" s="503"/>
      <c r="L38" s="504"/>
    </row>
    <row r="39" spans="1:12" ht="59.55" customHeight="1" x14ac:dyDescent="0.45">
      <c r="A39" s="505"/>
      <c r="B39" s="506"/>
      <c r="C39" s="506"/>
      <c r="D39" s="506"/>
      <c r="E39" s="506"/>
      <c r="F39" s="506"/>
      <c r="G39" s="506"/>
      <c r="H39" s="506"/>
      <c r="I39" s="506"/>
      <c r="J39" s="506"/>
      <c r="K39" s="506"/>
      <c r="L39" s="507"/>
    </row>
    <row r="41" spans="1:12" s="33" customFormat="1" x14ac:dyDescent="0.45">
      <c r="A41" s="34">
        <v>5</v>
      </c>
    </row>
    <row r="43" spans="1:12" x14ac:dyDescent="0.45">
      <c r="A43" s="214" t="s">
        <v>364</v>
      </c>
      <c r="B43" s="214">
        <v>-420000</v>
      </c>
      <c r="C43" s="213"/>
      <c r="D43" s="213"/>
      <c r="E43" s="213"/>
      <c r="F43" s="214" t="s">
        <v>391</v>
      </c>
      <c r="G43" s="124">
        <v>1</v>
      </c>
      <c r="H43" s="124">
        <v>2</v>
      </c>
      <c r="I43" s="124">
        <v>3</v>
      </c>
      <c r="J43" s="214" t="s">
        <v>392</v>
      </c>
      <c r="K43" s="213"/>
      <c r="L43" s="213"/>
    </row>
    <row r="44" spans="1:12" x14ac:dyDescent="0.45">
      <c r="A44" s="213" t="s">
        <v>393</v>
      </c>
      <c r="B44" s="213">
        <v>1</v>
      </c>
      <c r="C44" s="213">
        <f>B43+G44</f>
        <v>-340000</v>
      </c>
      <c r="D44" s="213" t="s">
        <v>394</v>
      </c>
      <c r="E44" s="213"/>
      <c r="F44" s="214"/>
      <c r="G44" s="214">
        <v>80000</v>
      </c>
      <c r="H44" s="214">
        <v>240000</v>
      </c>
      <c r="I44" s="214">
        <v>500000</v>
      </c>
      <c r="J44" s="214" t="s">
        <v>391</v>
      </c>
      <c r="K44" s="213"/>
      <c r="L44" s="213"/>
    </row>
    <row r="45" spans="1:12" x14ac:dyDescent="0.45">
      <c r="A45" s="213"/>
      <c r="B45" s="213">
        <v>1</v>
      </c>
      <c r="C45" s="213">
        <f>C44+H44</f>
        <v>-100000</v>
      </c>
      <c r="D45" s="213" t="s">
        <v>395</v>
      </c>
      <c r="E45" s="213"/>
      <c r="F45" s="213"/>
      <c r="G45" s="213"/>
      <c r="H45" s="213"/>
      <c r="I45" s="213"/>
      <c r="J45" s="213"/>
      <c r="K45" s="213"/>
      <c r="L45" s="213"/>
    </row>
    <row r="46" spans="1:12" x14ac:dyDescent="0.45">
      <c r="A46" s="213"/>
      <c r="B46" s="213">
        <f>-C45/I44</f>
        <v>0.2</v>
      </c>
      <c r="C46" s="213"/>
      <c r="D46" s="213"/>
      <c r="E46" s="213"/>
      <c r="F46" s="213"/>
      <c r="G46" s="213"/>
      <c r="H46" s="213"/>
      <c r="I46" s="213"/>
      <c r="J46" s="213"/>
      <c r="K46" s="213"/>
      <c r="L46" s="213"/>
    </row>
    <row r="47" spans="1:12" x14ac:dyDescent="0.45">
      <c r="A47" s="213"/>
      <c r="B47" s="213"/>
      <c r="C47" s="213"/>
      <c r="D47" s="213"/>
      <c r="E47" s="213"/>
      <c r="F47" s="213"/>
      <c r="G47" s="213"/>
      <c r="H47" s="213"/>
      <c r="I47" s="213"/>
      <c r="J47" s="213"/>
      <c r="K47" s="213"/>
      <c r="L47" s="213"/>
    </row>
    <row r="48" spans="1:12" x14ac:dyDescent="0.45">
      <c r="A48" s="213"/>
      <c r="B48" s="213"/>
      <c r="C48" s="213"/>
      <c r="D48" s="213"/>
      <c r="E48" s="213"/>
      <c r="F48" s="213"/>
      <c r="G48" s="213"/>
      <c r="H48" s="213"/>
      <c r="I48" s="213"/>
      <c r="J48" s="213"/>
      <c r="K48" s="213"/>
      <c r="L48" s="213"/>
    </row>
    <row r="49" spans="1:12" x14ac:dyDescent="0.45">
      <c r="A49" s="213" t="s">
        <v>393</v>
      </c>
      <c r="B49" s="214">
        <f>SUM(B44:B46)</f>
        <v>2.2000000000000002</v>
      </c>
      <c r="C49" s="213"/>
      <c r="D49" s="213"/>
      <c r="E49" s="213"/>
      <c r="F49" s="213"/>
      <c r="G49" s="213"/>
      <c r="H49" s="213"/>
      <c r="I49" s="213"/>
      <c r="J49" s="213"/>
      <c r="K49" s="213"/>
      <c r="L49" s="213"/>
    </row>
    <row r="50" spans="1:12" x14ac:dyDescent="0.45">
      <c r="A50" s="213"/>
      <c r="B50" s="213"/>
      <c r="C50" s="213"/>
      <c r="D50" s="213"/>
      <c r="E50" s="213"/>
      <c r="F50" s="213"/>
      <c r="G50" s="213"/>
      <c r="H50" s="213"/>
      <c r="I50" s="213"/>
      <c r="J50" s="213"/>
      <c r="K50" s="213"/>
      <c r="L50" s="213"/>
    </row>
    <row r="51" spans="1:12" x14ac:dyDescent="0.45">
      <c r="A51" s="213" t="s">
        <v>396</v>
      </c>
      <c r="B51" s="213"/>
      <c r="C51" s="213"/>
      <c r="D51" s="213"/>
      <c r="E51" s="213"/>
      <c r="F51" s="213"/>
      <c r="G51" s="213"/>
      <c r="H51" s="213"/>
      <c r="I51" s="213"/>
      <c r="J51" s="213"/>
      <c r="K51" s="213"/>
      <c r="L51" s="213"/>
    </row>
    <row r="52" spans="1:12" x14ac:dyDescent="0.45">
      <c r="A52" s="213" t="s">
        <v>397</v>
      </c>
      <c r="B52" s="213"/>
      <c r="C52" s="213"/>
      <c r="D52" s="213"/>
      <c r="E52" s="213"/>
      <c r="F52" s="213"/>
      <c r="G52" s="213"/>
      <c r="H52" s="213"/>
      <c r="I52" s="213"/>
      <c r="J52" s="213"/>
      <c r="K52" s="213"/>
      <c r="L52" s="213"/>
    </row>
    <row r="53" spans="1:12" x14ac:dyDescent="0.45">
      <c r="A53" s="213"/>
      <c r="B53" s="213"/>
      <c r="C53" s="213"/>
      <c r="D53" s="213"/>
      <c r="E53" s="213"/>
      <c r="F53" s="213"/>
      <c r="G53" s="213"/>
      <c r="H53" s="213"/>
      <c r="I53" s="213"/>
      <c r="J53" s="213"/>
      <c r="K53" s="213"/>
      <c r="L53" s="213"/>
    </row>
    <row r="54" spans="1:12" x14ac:dyDescent="0.45">
      <c r="A54" s="213" t="s">
        <v>398</v>
      </c>
      <c r="B54" s="213"/>
      <c r="C54" s="213"/>
      <c r="D54" s="213"/>
      <c r="E54" s="213"/>
      <c r="F54" s="213"/>
      <c r="G54" s="213"/>
      <c r="H54" s="213"/>
      <c r="I54" s="213"/>
      <c r="J54" s="213"/>
      <c r="K54" s="213"/>
      <c r="L54" s="213"/>
    </row>
    <row r="55" spans="1:12" x14ac:dyDescent="0.45">
      <c r="A55" s="213" t="s">
        <v>399</v>
      </c>
      <c r="B55" s="213"/>
      <c r="C55" s="213"/>
      <c r="D55" s="213"/>
      <c r="E55" s="213"/>
      <c r="F55" s="213"/>
      <c r="G55" s="213"/>
      <c r="H55" s="213"/>
      <c r="I55" s="213"/>
      <c r="J55" s="213"/>
      <c r="K55" s="213"/>
      <c r="L55" s="213"/>
    </row>
    <row r="56" spans="1:12" x14ac:dyDescent="0.45">
      <c r="A56" s="213" t="s">
        <v>400</v>
      </c>
      <c r="B56" s="213"/>
      <c r="C56" s="213"/>
      <c r="D56" s="213"/>
      <c r="E56" s="213"/>
      <c r="F56" s="213"/>
      <c r="G56" s="213"/>
      <c r="H56" s="213"/>
      <c r="I56" s="213"/>
      <c r="J56" s="213"/>
      <c r="K56" s="213"/>
      <c r="L56" s="213"/>
    </row>
    <row r="57" spans="1:12" x14ac:dyDescent="0.45">
      <c r="A57" s="213"/>
      <c r="B57" s="213"/>
      <c r="C57" s="213"/>
      <c r="D57" s="213"/>
      <c r="E57" s="213"/>
      <c r="F57" s="213"/>
      <c r="G57" s="213"/>
      <c r="H57" s="213"/>
      <c r="I57" s="213"/>
      <c r="J57" s="213"/>
      <c r="K57" s="213"/>
      <c r="L57" s="213"/>
    </row>
    <row r="58" spans="1:12" s="33" customFormat="1" x14ac:dyDescent="0.45">
      <c r="A58" s="34">
        <v>6</v>
      </c>
    </row>
    <row r="60" spans="1:12" x14ac:dyDescent="0.45">
      <c r="A60" s="220" t="s">
        <v>401</v>
      </c>
      <c r="B60" s="220"/>
      <c r="C60" s="220"/>
      <c r="D60" s="220"/>
      <c r="E60" s="220"/>
      <c r="F60" s="220"/>
      <c r="G60" s="220"/>
      <c r="H60" s="220"/>
      <c r="I60" s="220"/>
      <c r="J60" s="220"/>
      <c r="K60" s="220"/>
      <c r="L60" s="220"/>
    </row>
    <row r="61" spans="1:12" x14ac:dyDescent="0.45">
      <c r="A61" s="220" t="s">
        <v>402</v>
      </c>
      <c r="B61" s="221">
        <v>0</v>
      </c>
      <c r="C61" s="221">
        <v>1</v>
      </c>
      <c r="D61" s="221">
        <v>2</v>
      </c>
      <c r="E61" s="221">
        <v>3</v>
      </c>
      <c r="F61" s="221">
        <v>4</v>
      </c>
      <c r="G61" s="220"/>
      <c r="H61" s="220"/>
      <c r="I61" s="220" t="s">
        <v>403</v>
      </c>
      <c r="J61" s="220"/>
      <c r="K61" s="220"/>
      <c r="L61" s="220"/>
    </row>
    <row r="62" spans="1:12" x14ac:dyDescent="0.45">
      <c r="A62" s="220" t="s">
        <v>96</v>
      </c>
      <c r="B62" s="220"/>
      <c r="C62" s="220">
        <v>40000</v>
      </c>
      <c r="D62" s="220">
        <f>C62*1.25</f>
        <v>50000</v>
      </c>
      <c r="E62" s="220">
        <f t="shared" ref="E62:F62" si="0">D62*1.25</f>
        <v>62500</v>
      </c>
      <c r="F62" s="220">
        <f t="shared" si="0"/>
        <v>78125</v>
      </c>
      <c r="G62" s="220"/>
      <c r="H62" s="220"/>
      <c r="I62" s="220" t="s">
        <v>404</v>
      </c>
      <c r="J62" s="220"/>
      <c r="K62" s="220"/>
      <c r="L62" s="220"/>
    </row>
    <row r="63" spans="1:12" x14ac:dyDescent="0.45">
      <c r="A63" s="220" t="s">
        <v>405</v>
      </c>
      <c r="B63" s="220"/>
      <c r="C63" s="220">
        <v>20000</v>
      </c>
      <c r="D63" s="220">
        <v>20000</v>
      </c>
      <c r="E63" s="220">
        <v>20000</v>
      </c>
      <c r="F63" s="220">
        <v>20000</v>
      </c>
      <c r="G63" s="220"/>
      <c r="H63" s="220"/>
      <c r="I63" s="220" t="s">
        <v>406</v>
      </c>
      <c r="J63" s="220">
        <f>100000/4</f>
        <v>25000</v>
      </c>
      <c r="K63" s="220"/>
      <c r="L63" s="220"/>
    </row>
    <row r="64" spans="1:12" x14ac:dyDescent="0.45">
      <c r="A64" s="220"/>
      <c r="B64" s="220"/>
      <c r="C64" s="220"/>
      <c r="D64" s="220"/>
      <c r="E64" s="220"/>
      <c r="F64" s="220"/>
      <c r="G64" s="220"/>
      <c r="H64" s="220"/>
      <c r="I64" s="220"/>
      <c r="J64" s="220"/>
      <c r="K64" s="220"/>
      <c r="L64" s="220"/>
    </row>
    <row r="65" spans="1:12" x14ac:dyDescent="0.45">
      <c r="A65" s="220" t="s">
        <v>407</v>
      </c>
      <c r="B65" s="220"/>
      <c r="C65" s="220">
        <f>C62-C63</f>
        <v>20000</v>
      </c>
      <c r="D65" s="220">
        <f t="shared" ref="D65:F65" si="1">D62-D63</f>
        <v>30000</v>
      </c>
      <c r="E65" s="220">
        <f t="shared" si="1"/>
        <v>42500</v>
      </c>
      <c r="F65" s="220">
        <f t="shared" si="1"/>
        <v>58125</v>
      </c>
      <c r="G65" s="220"/>
      <c r="H65" s="220"/>
      <c r="I65" s="220"/>
      <c r="J65" s="220"/>
      <c r="K65" s="220"/>
      <c r="L65" s="220"/>
    </row>
    <row r="66" spans="1:12" x14ac:dyDescent="0.45">
      <c r="A66" s="220"/>
      <c r="B66" s="220"/>
      <c r="C66" s="220"/>
      <c r="D66" s="220"/>
      <c r="E66" s="220"/>
      <c r="F66" s="220"/>
      <c r="G66" s="222">
        <v>2.2000000000000002</v>
      </c>
      <c r="H66" s="220" t="s">
        <v>408</v>
      </c>
      <c r="I66" s="220"/>
      <c r="J66" s="220"/>
      <c r="K66" s="220"/>
      <c r="L66" s="220"/>
    </row>
    <row r="67" spans="1:12" x14ac:dyDescent="0.45">
      <c r="A67" s="220" t="s">
        <v>288</v>
      </c>
      <c r="B67" s="220"/>
      <c r="C67" s="220">
        <f>$J$63</f>
        <v>25000</v>
      </c>
      <c r="D67" s="220">
        <f t="shared" ref="D67:F67" si="2">$J$63</f>
        <v>25000</v>
      </c>
      <c r="E67" s="220">
        <f t="shared" si="2"/>
        <v>25000</v>
      </c>
      <c r="F67" s="220">
        <f t="shared" si="2"/>
        <v>25000</v>
      </c>
      <c r="G67" s="220"/>
      <c r="H67" s="220"/>
      <c r="I67" s="220"/>
      <c r="J67" s="220"/>
      <c r="K67" s="220"/>
      <c r="L67" s="220"/>
    </row>
    <row r="68" spans="1:12" x14ac:dyDescent="0.45">
      <c r="A68" s="220"/>
      <c r="B68" s="220"/>
      <c r="C68" s="220"/>
      <c r="D68" s="220"/>
      <c r="E68" s="220"/>
      <c r="F68" s="220"/>
      <c r="G68" s="220"/>
      <c r="H68" s="220" t="s">
        <v>409</v>
      </c>
      <c r="I68" s="220" t="s">
        <v>410</v>
      </c>
      <c r="J68" s="220" t="s">
        <v>411</v>
      </c>
      <c r="K68" s="220" t="s">
        <v>412</v>
      </c>
      <c r="L68" s="220"/>
    </row>
    <row r="69" spans="1:12" x14ac:dyDescent="0.45">
      <c r="A69" s="220" t="s">
        <v>413</v>
      </c>
      <c r="B69" s="220"/>
      <c r="C69" s="220">
        <f>C65-C67</f>
        <v>-5000</v>
      </c>
      <c r="D69" s="220">
        <f t="shared" ref="D69:F69" si="3">D65-D67</f>
        <v>5000</v>
      </c>
      <c r="E69" s="220">
        <f t="shared" si="3"/>
        <v>17500</v>
      </c>
      <c r="F69" s="220">
        <f t="shared" si="3"/>
        <v>33125</v>
      </c>
      <c r="G69" s="220"/>
      <c r="H69" s="220">
        <v>1</v>
      </c>
      <c r="I69" s="220">
        <f>B81</f>
        <v>-100000</v>
      </c>
      <c r="J69" s="220">
        <f>C81</f>
        <v>20000</v>
      </c>
      <c r="K69" s="220">
        <f>I69+J69</f>
        <v>-80000</v>
      </c>
      <c r="L69" s="220"/>
    </row>
    <row r="70" spans="1:12" x14ac:dyDescent="0.45">
      <c r="A70" s="220"/>
      <c r="B70" s="220"/>
      <c r="C70" s="220"/>
      <c r="D70" s="220"/>
      <c r="E70" s="220"/>
      <c r="F70" s="220"/>
      <c r="G70" s="220"/>
      <c r="H70" s="220">
        <v>1</v>
      </c>
      <c r="I70" s="220">
        <f>K69</f>
        <v>-80000</v>
      </c>
      <c r="J70" s="220">
        <f>D81</f>
        <v>30000</v>
      </c>
      <c r="K70" s="220">
        <f>I70+J70</f>
        <v>-50000</v>
      </c>
      <c r="L70" s="220"/>
    </row>
    <row r="71" spans="1:12" x14ac:dyDescent="0.45">
      <c r="A71" s="220" t="s">
        <v>414</v>
      </c>
      <c r="B71" s="220"/>
      <c r="C71" s="220">
        <v>0</v>
      </c>
      <c r="D71" s="220">
        <v>0</v>
      </c>
      <c r="E71" s="220">
        <v>0</v>
      </c>
      <c r="F71" s="220">
        <v>0</v>
      </c>
      <c r="G71" s="220"/>
      <c r="H71" s="220">
        <v>1</v>
      </c>
      <c r="I71" s="220">
        <f>K70</f>
        <v>-50000</v>
      </c>
      <c r="J71" s="220">
        <f>E81</f>
        <v>38125</v>
      </c>
      <c r="K71" s="220">
        <f t="shared" ref="K71" si="4">I71+J71</f>
        <v>-11875</v>
      </c>
      <c r="L71" s="220"/>
    </row>
    <row r="72" spans="1:12" x14ac:dyDescent="0.45">
      <c r="A72" s="220" t="s">
        <v>415</v>
      </c>
      <c r="B72" s="220"/>
      <c r="C72" s="220">
        <f>C69-C71</f>
        <v>-5000</v>
      </c>
      <c r="D72" s="220">
        <f t="shared" ref="D72:F72" si="5">D69-D71</f>
        <v>5000</v>
      </c>
      <c r="E72" s="220">
        <f t="shared" si="5"/>
        <v>17500</v>
      </c>
      <c r="F72" s="220">
        <f t="shared" si="5"/>
        <v>33125</v>
      </c>
      <c r="G72" s="220"/>
      <c r="H72" s="220">
        <f>-K71/J72</f>
        <v>0.23824451410658307</v>
      </c>
      <c r="I72" s="220">
        <f>K71</f>
        <v>-11875</v>
      </c>
      <c r="J72" s="220">
        <f>F81</f>
        <v>49843.75</v>
      </c>
      <c r="K72" s="220"/>
      <c r="L72" s="220"/>
    </row>
    <row r="73" spans="1:12" x14ac:dyDescent="0.45">
      <c r="A73" s="220"/>
      <c r="B73" s="220"/>
      <c r="C73" s="220"/>
      <c r="D73" s="220"/>
      <c r="E73" s="220"/>
      <c r="F73" s="220"/>
      <c r="G73" s="220"/>
      <c r="H73" s="220"/>
      <c r="I73" s="220"/>
      <c r="J73" s="220"/>
      <c r="K73" s="220"/>
      <c r="L73" s="220"/>
    </row>
    <row r="74" spans="1:12" x14ac:dyDescent="0.45">
      <c r="A74" s="220" t="s">
        <v>416</v>
      </c>
      <c r="B74" s="220"/>
      <c r="C74" s="220">
        <f>0</f>
        <v>0</v>
      </c>
      <c r="D74" s="220">
        <f>(C72+D72)*0.25</f>
        <v>0</v>
      </c>
      <c r="E74" s="220">
        <f>E72*0.25</f>
        <v>4375</v>
      </c>
      <c r="F74" s="220">
        <f>F72*0.25</f>
        <v>8281.25</v>
      </c>
      <c r="G74" s="220"/>
      <c r="H74" s="223">
        <f>SUM(H69:H72)</f>
        <v>3.238244514106583</v>
      </c>
      <c r="I74" s="220" t="s">
        <v>417</v>
      </c>
      <c r="J74" s="220"/>
      <c r="K74" s="220"/>
      <c r="L74" s="220"/>
    </row>
    <row r="75" spans="1:12" x14ac:dyDescent="0.45">
      <c r="A75" s="220"/>
      <c r="B75" s="220"/>
      <c r="C75" s="220"/>
      <c r="D75" s="220"/>
      <c r="E75" s="220"/>
      <c r="F75" s="220"/>
      <c r="G75" s="220"/>
      <c r="H75" s="220"/>
      <c r="I75" s="220"/>
      <c r="J75" s="220"/>
      <c r="K75" s="220"/>
      <c r="L75" s="220"/>
    </row>
    <row r="76" spans="1:12" x14ac:dyDescent="0.45">
      <c r="A76" s="220" t="s">
        <v>2</v>
      </c>
      <c r="B76" s="220"/>
      <c r="C76" s="220">
        <f>C72-C74</f>
        <v>-5000</v>
      </c>
      <c r="D76" s="220">
        <f t="shared" ref="D76:F76" si="6">D72-D74</f>
        <v>5000</v>
      </c>
      <c r="E76" s="220">
        <f t="shared" si="6"/>
        <v>13125</v>
      </c>
      <c r="F76" s="220">
        <f t="shared" si="6"/>
        <v>24843.75</v>
      </c>
      <c r="G76" s="220"/>
      <c r="H76" s="224" t="s">
        <v>418</v>
      </c>
      <c r="I76" s="220"/>
      <c r="J76" s="220"/>
      <c r="K76" s="220"/>
      <c r="L76" s="220"/>
    </row>
    <row r="77" spans="1:12" x14ac:dyDescent="0.45">
      <c r="A77" s="220"/>
      <c r="B77" s="220"/>
      <c r="C77" s="220"/>
      <c r="D77" s="220"/>
      <c r="E77" s="220"/>
      <c r="F77" s="220"/>
      <c r="G77" s="220"/>
      <c r="H77" s="224" t="s">
        <v>419</v>
      </c>
      <c r="I77" s="220"/>
      <c r="J77" s="220"/>
      <c r="K77" s="220"/>
      <c r="L77" s="220"/>
    </row>
    <row r="78" spans="1:12" x14ac:dyDescent="0.45">
      <c r="A78" s="220" t="s">
        <v>288</v>
      </c>
      <c r="B78" s="220"/>
      <c r="C78" s="220">
        <f>C67</f>
        <v>25000</v>
      </c>
      <c r="D78" s="220">
        <f t="shared" ref="D78:F78" si="7">D67</f>
        <v>25000</v>
      </c>
      <c r="E78" s="220">
        <f t="shared" si="7"/>
        <v>25000</v>
      </c>
      <c r="F78" s="220">
        <f t="shared" si="7"/>
        <v>25000</v>
      </c>
      <c r="G78" s="220"/>
      <c r="H78" s="220"/>
      <c r="I78" s="220"/>
      <c r="J78" s="220"/>
      <c r="K78" s="220"/>
      <c r="L78" s="220"/>
    </row>
    <row r="79" spans="1:12" x14ac:dyDescent="0.45">
      <c r="A79" s="220" t="s">
        <v>420</v>
      </c>
      <c r="B79" s="220"/>
      <c r="C79" s="220"/>
      <c r="D79" s="220"/>
      <c r="E79" s="220"/>
      <c r="F79" s="220">
        <v>0</v>
      </c>
      <c r="G79" s="220"/>
      <c r="H79" s="220"/>
      <c r="I79" s="220"/>
      <c r="J79" s="220"/>
      <c r="K79" s="220"/>
      <c r="L79" s="220"/>
    </row>
    <row r="80" spans="1:12" x14ac:dyDescent="0.45">
      <c r="A80" s="220"/>
      <c r="B80" s="220" t="s">
        <v>421</v>
      </c>
      <c r="C80" s="220"/>
      <c r="D80" s="220"/>
      <c r="E80" s="220"/>
      <c r="F80" s="220"/>
      <c r="G80" s="220"/>
      <c r="H80" s="220"/>
      <c r="I80" s="220"/>
      <c r="J80" s="220"/>
      <c r="K80" s="220"/>
      <c r="L80" s="220"/>
    </row>
    <row r="81" spans="1:12" x14ac:dyDescent="0.45">
      <c r="A81" s="220" t="s">
        <v>422</v>
      </c>
      <c r="B81" s="220">
        <v>-100000</v>
      </c>
      <c r="C81" s="220">
        <f>C76+C78</f>
        <v>20000</v>
      </c>
      <c r="D81" s="220">
        <f t="shared" ref="D81:E81" si="8">D76+D78</f>
        <v>30000</v>
      </c>
      <c r="E81" s="220">
        <f t="shared" si="8"/>
        <v>38125</v>
      </c>
      <c r="F81" s="220">
        <f>F76+F78+F79</f>
        <v>49843.75</v>
      </c>
      <c r="G81" s="220"/>
      <c r="H81" s="220"/>
      <c r="I81" s="220"/>
      <c r="J81" s="220"/>
      <c r="K81" s="220"/>
      <c r="L81" s="220"/>
    </row>
    <row r="83" spans="1:12" s="33" customFormat="1" x14ac:dyDescent="0.45">
      <c r="A83" s="34">
        <v>7</v>
      </c>
    </row>
    <row r="85" spans="1:12" x14ac:dyDescent="0.45">
      <c r="A85" s="17" t="s">
        <v>423</v>
      </c>
    </row>
    <row r="86" spans="1:12" x14ac:dyDescent="0.45">
      <c r="A86" t="s">
        <v>424</v>
      </c>
      <c r="B86" s="42">
        <f>3.6%/12</f>
        <v>3.0000000000000005E-3</v>
      </c>
    </row>
    <row r="87" spans="1:12" x14ac:dyDescent="0.45">
      <c r="A87" t="s">
        <v>425</v>
      </c>
      <c r="B87" t="s">
        <v>426</v>
      </c>
      <c r="C87" t="s">
        <v>427</v>
      </c>
    </row>
    <row r="90" spans="1:12" x14ac:dyDescent="0.45">
      <c r="B90">
        <v>1000000</v>
      </c>
      <c r="C90" t="s">
        <v>428</v>
      </c>
    </row>
    <row r="91" spans="1:12" x14ac:dyDescent="0.45">
      <c r="A91" s="222">
        <v>4.0999999999999996</v>
      </c>
      <c r="B91" s="223">
        <f>1000000*(1+B86)^6</f>
        <v>1018135.5412164578</v>
      </c>
      <c r="C91" s="220" t="s">
        <v>429</v>
      </c>
      <c r="D91" s="220"/>
      <c r="E91" s="220"/>
      <c r="F91" s="220"/>
      <c r="G91" s="220"/>
      <c r="H91" s="220"/>
    </row>
    <row r="92" spans="1:12" x14ac:dyDescent="0.45">
      <c r="A92" s="222"/>
      <c r="B92" s="220"/>
      <c r="C92" s="220"/>
      <c r="D92" s="220"/>
      <c r="E92" s="220"/>
      <c r="F92" s="220"/>
      <c r="G92" s="220"/>
      <c r="H92" s="220"/>
    </row>
    <row r="93" spans="1:12" x14ac:dyDescent="0.45">
      <c r="A93" s="222">
        <v>4.2</v>
      </c>
      <c r="B93" s="220" t="s">
        <v>430</v>
      </c>
      <c r="C93" s="220"/>
      <c r="D93" s="220"/>
      <c r="E93" s="220"/>
      <c r="F93" s="220"/>
      <c r="G93" s="220"/>
      <c r="H93" s="220"/>
    </row>
    <row r="94" spans="1:12" x14ac:dyDescent="0.45">
      <c r="A94" s="220"/>
      <c r="B94" s="223">
        <f>1500000/(1+B86)^6</f>
        <v>1473281.2472176498</v>
      </c>
      <c r="C94" s="220" t="s">
        <v>431</v>
      </c>
      <c r="D94" s="220"/>
      <c r="E94" s="220"/>
      <c r="F94" s="220"/>
      <c r="G94" s="220"/>
      <c r="H94" s="220"/>
    </row>
    <row r="96" spans="1:12" s="33" customFormat="1" x14ac:dyDescent="0.45">
      <c r="A96" s="34">
        <v>8</v>
      </c>
    </row>
    <row r="98" spans="1:2" x14ac:dyDescent="0.45">
      <c r="A98" t="s">
        <v>432</v>
      </c>
    </row>
    <row r="100" spans="1:2" x14ac:dyDescent="0.45">
      <c r="A100" t="s">
        <v>433</v>
      </c>
    </row>
    <row r="102" spans="1:2" x14ac:dyDescent="0.45">
      <c r="A102" t="s">
        <v>434</v>
      </c>
    </row>
    <row r="104" spans="1:2" s="33" customFormat="1" x14ac:dyDescent="0.45">
      <c r="A104" s="34">
        <v>9</v>
      </c>
    </row>
    <row r="106" spans="1:2" ht="15.75" x14ac:dyDescent="0.5">
      <c r="A106" s="225" t="s">
        <v>435</v>
      </c>
      <c r="B106" s="225">
        <v>120</v>
      </c>
    </row>
    <row r="107" spans="1:2" ht="15.75" x14ac:dyDescent="0.5">
      <c r="A107" s="225" t="s">
        <v>436</v>
      </c>
      <c r="B107" s="226">
        <v>0.11</v>
      </c>
    </row>
    <row r="108" spans="1:2" ht="15.75" x14ac:dyDescent="0.5">
      <c r="A108" s="225" t="s">
        <v>437</v>
      </c>
      <c r="B108" s="225">
        <v>10</v>
      </c>
    </row>
    <row r="110" spans="1:2" x14ac:dyDescent="0.45">
      <c r="A110">
        <v>1.1000000000000001</v>
      </c>
      <c r="B110" t="s">
        <v>438</v>
      </c>
    </row>
    <row r="111" spans="1:2" x14ac:dyDescent="0.45">
      <c r="B111" s="227">
        <f>120*(1+11%)^10</f>
        <v>340.73051832828219</v>
      </c>
    </row>
    <row r="112" spans="1:2" x14ac:dyDescent="0.45">
      <c r="A112">
        <v>1.2</v>
      </c>
      <c r="B112" t="s">
        <v>439</v>
      </c>
    </row>
    <row r="113" spans="1:11" x14ac:dyDescent="0.45">
      <c r="B113" t="s">
        <v>440</v>
      </c>
    </row>
    <row r="115" spans="1:11" x14ac:dyDescent="0.45">
      <c r="B115" t="s">
        <v>441</v>
      </c>
      <c r="C115" s="1">
        <f>100000*(1+10%)^1</f>
        <v>110000.00000000001</v>
      </c>
      <c r="D115" t="s">
        <v>442</v>
      </c>
      <c r="E115" s="15">
        <f>C115-100000</f>
        <v>10000.000000000015</v>
      </c>
    </row>
    <row r="116" spans="1:11" x14ac:dyDescent="0.45">
      <c r="B116" t="s">
        <v>443</v>
      </c>
      <c r="C116" s="36">
        <f>100000*(1+4.9%)^2</f>
        <v>110040.09999999999</v>
      </c>
      <c r="D116" t="s">
        <v>442</v>
      </c>
      <c r="E116" s="15">
        <f>C116-100000</f>
        <v>10040.099999999991</v>
      </c>
      <c r="F116" t="s">
        <v>444</v>
      </c>
    </row>
    <row r="117" spans="1:11" s="33" customFormat="1" x14ac:dyDescent="0.45">
      <c r="A117" s="34">
        <v>10</v>
      </c>
    </row>
    <row r="118" spans="1:11" x14ac:dyDescent="0.45">
      <c r="E118" s="1"/>
    </row>
    <row r="119" spans="1:11" x14ac:dyDescent="0.45">
      <c r="A119" s="17" t="s">
        <v>445</v>
      </c>
      <c r="B119" t="s">
        <v>410</v>
      </c>
      <c r="C119" s="1">
        <f>80000</f>
        <v>80000</v>
      </c>
      <c r="D119" t="s">
        <v>446</v>
      </c>
      <c r="E119" s="1">
        <f>C119-C120</f>
        <v>60000</v>
      </c>
      <c r="F119" s="17" t="s">
        <v>447</v>
      </c>
      <c r="H119" s="17">
        <v>1</v>
      </c>
      <c r="I119" s="17">
        <v>2</v>
      </c>
      <c r="J119" s="17">
        <v>3</v>
      </c>
      <c r="K119" s="17">
        <v>4</v>
      </c>
    </row>
    <row r="120" spans="1:11" x14ac:dyDescent="0.45">
      <c r="B120" t="s">
        <v>448</v>
      </c>
      <c r="C120" s="1">
        <v>20000</v>
      </c>
      <c r="E120" s="48">
        <f>E119/C121</f>
        <v>15000</v>
      </c>
      <c r="G120" t="s">
        <v>96</v>
      </c>
      <c r="H120" s="1">
        <f>160000</f>
        <v>160000</v>
      </c>
      <c r="I120" s="1">
        <f>H120*1.05</f>
        <v>168000</v>
      </c>
      <c r="J120" s="1">
        <f>I120*1.05</f>
        <v>176400</v>
      </c>
      <c r="K120" s="1">
        <f>J120*1.05</f>
        <v>185220</v>
      </c>
    </row>
    <row r="121" spans="1:11" x14ac:dyDescent="0.45">
      <c r="B121" t="s">
        <v>449</v>
      </c>
      <c r="C121">
        <v>4</v>
      </c>
      <c r="E121" t="s">
        <v>450</v>
      </c>
      <c r="G121" t="s">
        <v>451</v>
      </c>
      <c r="H121" s="1">
        <v>140000</v>
      </c>
      <c r="I121" s="1">
        <f>H121</f>
        <v>140000</v>
      </c>
      <c r="J121" s="1">
        <f>I121*1.04</f>
        <v>145600</v>
      </c>
      <c r="K121" s="1">
        <f>J121*1.04</f>
        <v>151424</v>
      </c>
    </row>
    <row r="122" spans="1:11" x14ac:dyDescent="0.45">
      <c r="G122" t="s">
        <v>407</v>
      </c>
      <c r="H122" s="1">
        <f>H120-H121</f>
        <v>20000</v>
      </c>
      <c r="I122" s="1">
        <f>I120-I121</f>
        <v>28000</v>
      </c>
      <c r="J122" s="1">
        <f>J120-J121</f>
        <v>30800</v>
      </c>
      <c r="K122" s="1">
        <f>K120-K121</f>
        <v>33796</v>
      </c>
    </row>
    <row r="123" spans="1:11" x14ac:dyDescent="0.45">
      <c r="A123" s="17" t="s">
        <v>452</v>
      </c>
      <c r="B123" s="1">
        <f>-80000</f>
        <v>-80000</v>
      </c>
      <c r="G123" t="s">
        <v>453</v>
      </c>
      <c r="H123" s="1">
        <f>E120</f>
        <v>15000</v>
      </c>
      <c r="I123" s="1">
        <f>E120</f>
        <v>15000</v>
      </c>
      <c r="J123" s="1">
        <f>E120</f>
        <v>15000</v>
      </c>
      <c r="K123" s="1">
        <f>E120</f>
        <v>15000</v>
      </c>
    </row>
    <row r="124" spans="1:11" x14ac:dyDescent="0.45">
      <c r="B124" t="s">
        <v>454</v>
      </c>
      <c r="C124" s="1">
        <f>B123+H129</f>
        <v>-61050</v>
      </c>
      <c r="G124" t="s">
        <v>413</v>
      </c>
      <c r="H124" s="1">
        <f>H122-H123</f>
        <v>5000</v>
      </c>
      <c r="I124" s="1">
        <f>I122-I123</f>
        <v>13000</v>
      </c>
      <c r="J124" s="1">
        <f>J122-J123</f>
        <v>15800</v>
      </c>
      <c r="K124" s="1">
        <f>K122-K123</f>
        <v>18796</v>
      </c>
    </row>
    <row r="125" spans="1:11" x14ac:dyDescent="0.45">
      <c r="B125" t="s">
        <v>455</v>
      </c>
      <c r="C125" s="1">
        <f>C124+I129</f>
        <v>-35780</v>
      </c>
      <c r="G125" t="s">
        <v>456</v>
      </c>
      <c r="H125" s="1">
        <f>H124*0.21</f>
        <v>1050</v>
      </c>
      <c r="I125" s="1">
        <f>I124*0.21</f>
        <v>2730</v>
      </c>
      <c r="J125" s="1">
        <f>J124*0.21</f>
        <v>3318</v>
      </c>
      <c r="K125" s="1">
        <f>K124*0.21</f>
        <v>3947.16</v>
      </c>
    </row>
    <row r="126" spans="1:11" x14ac:dyDescent="0.45">
      <c r="B126" t="s">
        <v>457</v>
      </c>
      <c r="C126" s="1">
        <f>C125+J129</f>
        <v>-8298</v>
      </c>
      <c r="G126" t="s">
        <v>458</v>
      </c>
      <c r="H126" s="1">
        <f>H124-H125</f>
        <v>3950</v>
      </c>
      <c r="I126" s="1">
        <f>I124-I125</f>
        <v>10270</v>
      </c>
      <c r="J126" s="1">
        <f>J124-J125</f>
        <v>12482</v>
      </c>
      <c r="K126" s="1">
        <f>K124-K125</f>
        <v>14848.84</v>
      </c>
    </row>
    <row r="127" spans="1:11" x14ac:dyDescent="0.45">
      <c r="C127" s="1"/>
      <c r="G127" t="s">
        <v>453</v>
      </c>
      <c r="H127" s="1">
        <f>E120</f>
        <v>15000</v>
      </c>
      <c r="I127" s="1">
        <f>E120</f>
        <v>15000</v>
      </c>
      <c r="J127" s="1">
        <f>E120</f>
        <v>15000</v>
      </c>
      <c r="K127" s="1">
        <f>E120</f>
        <v>15000</v>
      </c>
    </row>
    <row r="128" spans="1:11" x14ac:dyDescent="0.45">
      <c r="C128" s="37">
        <f>C126/K129</f>
        <v>-0.16646325170254717</v>
      </c>
      <c r="G128" t="s">
        <v>459</v>
      </c>
      <c r="H128" s="1"/>
      <c r="I128" s="1"/>
      <c r="J128" s="1"/>
      <c r="K128" s="1">
        <f>20000</f>
        <v>20000</v>
      </c>
    </row>
    <row r="129" spans="1:12" x14ac:dyDescent="0.45">
      <c r="B129" s="35" t="s">
        <v>460</v>
      </c>
      <c r="C129" s="35"/>
      <c r="G129" t="s">
        <v>461</v>
      </c>
      <c r="H129" s="1">
        <f>H126+H127</f>
        <v>18950</v>
      </c>
      <c r="I129" s="1">
        <f>I127+I126</f>
        <v>25270</v>
      </c>
      <c r="J129" s="1">
        <f>J127+J126</f>
        <v>27482</v>
      </c>
      <c r="K129" s="48">
        <f>K128+K126+K127</f>
        <v>49848.84</v>
      </c>
    </row>
    <row r="130" spans="1:12" ht="14.55" customHeight="1" x14ac:dyDescent="0.45">
      <c r="A130" s="508" t="s">
        <v>462</v>
      </c>
      <c r="B130" s="508"/>
      <c r="C130" s="508"/>
      <c r="D130" s="508"/>
      <c r="E130" s="508"/>
      <c r="F130" s="508"/>
      <c r="G130" s="508"/>
      <c r="H130" s="508"/>
      <c r="I130" s="508"/>
      <c r="J130" s="508"/>
      <c r="K130" s="508"/>
      <c r="L130" s="508"/>
    </row>
    <row r="131" spans="1:12" ht="14.55" customHeight="1" x14ac:dyDescent="0.45">
      <c r="A131" s="509"/>
      <c r="B131" s="509"/>
      <c r="C131" s="509"/>
      <c r="D131" s="509"/>
      <c r="E131" s="509"/>
      <c r="F131" s="509"/>
      <c r="G131" s="509"/>
      <c r="H131" s="509"/>
      <c r="I131" s="509"/>
      <c r="J131" s="509"/>
      <c r="K131" s="509"/>
      <c r="L131" s="509"/>
    </row>
    <row r="132" spans="1:12" ht="14.55" customHeight="1" x14ac:dyDescent="0.45">
      <c r="A132" s="509"/>
      <c r="B132" s="509"/>
      <c r="C132" s="509"/>
      <c r="D132" s="509"/>
      <c r="E132" s="509"/>
      <c r="F132" s="509"/>
      <c r="G132" s="509"/>
      <c r="H132" s="509"/>
      <c r="I132" s="509"/>
      <c r="J132" s="509"/>
      <c r="K132" s="509"/>
      <c r="L132" s="509"/>
    </row>
    <row r="133" spans="1:12" ht="14.55" customHeight="1" x14ac:dyDescent="0.45">
      <c r="A133" s="509"/>
      <c r="B133" s="509"/>
      <c r="C133" s="509"/>
      <c r="D133" s="509"/>
      <c r="E133" s="509"/>
      <c r="F133" s="509"/>
      <c r="G133" s="509"/>
      <c r="H133" s="509"/>
      <c r="I133" s="509"/>
      <c r="J133" s="509"/>
      <c r="K133" s="509"/>
      <c r="L133" s="509"/>
    </row>
    <row r="134" spans="1:12" ht="14.55" customHeight="1" x14ac:dyDescent="0.45">
      <c r="A134" s="509"/>
      <c r="B134" s="509"/>
      <c r="C134" s="509"/>
      <c r="D134" s="509"/>
      <c r="E134" s="509"/>
      <c r="F134" s="509"/>
      <c r="G134" s="509"/>
      <c r="H134" s="509"/>
      <c r="I134" s="509"/>
      <c r="J134" s="509"/>
      <c r="K134" s="509"/>
      <c r="L134" s="509"/>
    </row>
    <row r="135" spans="1:12" ht="14.55" customHeight="1" x14ac:dyDescent="0.45">
      <c r="A135" s="509"/>
      <c r="B135" s="509"/>
      <c r="C135" s="509"/>
      <c r="D135" s="509"/>
      <c r="E135" s="509"/>
      <c r="F135" s="509"/>
      <c r="G135" s="509"/>
      <c r="H135" s="509"/>
      <c r="I135" s="509"/>
      <c r="J135" s="509"/>
      <c r="K135" s="509"/>
      <c r="L135" s="509"/>
    </row>
    <row r="137" spans="1:12" s="33" customFormat="1" x14ac:dyDescent="0.45">
      <c r="A137" s="34">
        <v>11</v>
      </c>
    </row>
    <row r="138" spans="1:12" ht="14.65" thickBot="1" x14ac:dyDescent="0.5">
      <c r="E138" s="31" t="s">
        <v>463</v>
      </c>
      <c r="G138" s="228"/>
      <c r="H138" s="228"/>
      <c r="I138" s="228"/>
      <c r="J138" s="228"/>
      <c r="K138" s="228"/>
      <c r="L138" s="229"/>
    </row>
    <row r="139" spans="1:12" x14ac:dyDescent="0.45">
      <c r="G139" s="230" t="s">
        <v>464</v>
      </c>
      <c r="H139" s="231" t="s">
        <v>465</v>
      </c>
      <c r="I139" s="232"/>
      <c r="J139" s="233"/>
      <c r="K139" s="233"/>
      <c r="L139" s="234"/>
    </row>
    <row r="140" spans="1:12" x14ac:dyDescent="0.45">
      <c r="A140" s="235" t="s">
        <v>466</v>
      </c>
      <c r="B140" s="1">
        <v>900000</v>
      </c>
      <c r="C140" s="1"/>
      <c r="D140" s="1"/>
      <c r="G140" s="236"/>
      <c r="H140" s="237"/>
      <c r="I140" s="237"/>
      <c r="J140" s="237"/>
      <c r="K140" s="237"/>
      <c r="L140" s="238"/>
    </row>
    <row r="141" spans="1:12" ht="14.65" thickBot="1" x14ac:dyDescent="0.5">
      <c r="A141" t="s">
        <v>467</v>
      </c>
      <c r="G141" s="236" t="s">
        <v>468</v>
      </c>
      <c r="H141" s="239" t="s">
        <v>469</v>
      </c>
      <c r="I141" s="240"/>
      <c r="J141" s="237"/>
      <c r="K141" s="237"/>
      <c r="L141" s="238"/>
    </row>
    <row r="142" spans="1:12" x14ac:dyDescent="0.45">
      <c r="A142" s="205" t="s">
        <v>470</v>
      </c>
      <c r="B142" s="1">
        <v>500000</v>
      </c>
      <c r="C142" s="1"/>
      <c r="D142" s="205" t="s">
        <v>470</v>
      </c>
      <c r="E142" s="1">
        <v>120000</v>
      </c>
      <c r="F142" s="1"/>
      <c r="G142" s="236"/>
      <c r="H142" s="241" t="s">
        <v>410</v>
      </c>
      <c r="I142" s="240"/>
      <c r="J142" s="237"/>
      <c r="K142" s="237"/>
      <c r="L142" s="238"/>
    </row>
    <row r="143" spans="1:12" x14ac:dyDescent="0.45">
      <c r="A143" s="205" t="s">
        <v>471</v>
      </c>
      <c r="B143" t="s">
        <v>472</v>
      </c>
      <c r="D143" s="205" t="s">
        <v>471</v>
      </c>
      <c r="E143">
        <v>4</v>
      </c>
      <c r="G143" s="236"/>
      <c r="H143" s="237"/>
      <c r="I143" s="237"/>
      <c r="J143" s="237"/>
      <c r="K143" s="237"/>
      <c r="L143" s="238"/>
    </row>
    <row r="144" spans="1:12" ht="14.65" thickBot="1" x14ac:dyDescent="0.5">
      <c r="A144" s="17" t="s">
        <v>473</v>
      </c>
      <c r="E144" s="17" t="s">
        <v>474</v>
      </c>
      <c r="G144" s="236" t="s">
        <v>468</v>
      </c>
      <c r="H144" s="239" t="s">
        <v>475</v>
      </c>
      <c r="I144" s="240"/>
      <c r="J144" s="242" t="s">
        <v>476</v>
      </c>
      <c r="K144" s="237"/>
      <c r="L144" s="238"/>
    </row>
    <row r="145" spans="1:12" ht="14.65" thickBot="1" x14ac:dyDescent="0.5">
      <c r="A145" t="s">
        <v>477</v>
      </c>
      <c r="D145" s="31"/>
      <c r="E145" t="s">
        <v>478</v>
      </c>
      <c r="F145" s="1"/>
      <c r="G145" s="243"/>
      <c r="H145" s="244" t="s">
        <v>410</v>
      </c>
      <c r="I145" s="245"/>
      <c r="J145" s="246"/>
      <c r="K145" s="246"/>
      <c r="L145" s="247"/>
    </row>
    <row r="146" spans="1:12" x14ac:dyDescent="0.45">
      <c r="A146" t="s">
        <v>479</v>
      </c>
      <c r="B146" s="31"/>
      <c r="C146" s="31"/>
      <c r="D146" s="31"/>
      <c r="E146" t="s">
        <v>480</v>
      </c>
      <c r="F146" s="1"/>
      <c r="G146" s="248"/>
      <c r="H146" s="249"/>
      <c r="I146" s="250"/>
      <c r="J146" s="251"/>
      <c r="K146" s="251"/>
      <c r="L146" s="24"/>
    </row>
    <row r="147" spans="1:12" x14ac:dyDescent="0.45">
      <c r="A147" s="31" t="s">
        <v>481</v>
      </c>
      <c r="B147" s="31"/>
      <c r="C147" s="31"/>
      <c r="D147" s="31"/>
      <c r="E147" s="252" t="s">
        <v>482</v>
      </c>
      <c r="F147" s="1"/>
      <c r="G147" s="248"/>
      <c r="H147" s="249"/>
      <c r="I147" s="250"/>
      <c r="J147" s="251"/>
      <c r="K147" s="251"/>
      <c r="L147" s="24"/>
    </row>
    <row r="148" spans="1:12" x14ac:dyDescent="0.45">
      <c r="B148" s="31"/>
      <c r="C148" s="31"/>
      <c r="D148" s="31"/>
      <c r="F148" s="1"/>
      <c r="G148" s="248"/>
      <c r="H148" s="249"/>
      <c r="I148" s="250"/>
      <c r="J148" s="251"/>
      <c r="K148" s="251"/>
      <c r="L148" s="24"/>
    </row>
    <row r="149" spans="1:12" x14ac:dyDescent="0.45">
      <c r="G149" s="253"/>
      <c r="H149" s="253"/>
      <c r="I149" s="253"/>
      <c r="J149" s="253"/>
      <c r="K149" s="253"/>
      <c r="L149" s="254"/>
    </row>
    <row r="150" spans="1:12" x14ac:dyDescent="0.45">
      <c r="A150" t="s">
        <v>483</v>
      </c>
      <c r="F150" s="255"/>
      <c r="K150" s="254"/>
    </row>
    <row r="151" spans="1:12" s="33" customFormat="1" x14ac:dyDescent="0.45">
      <c r="A151" s="34">
        <v>12</v>
      </c>
      <c r="F151" s="256"/>
      <c r="G151" s="257"/>
      <c r="H151" s="257"/>
      <c r="I151" s="257"/>
      <c r="J151" s="257"/>
      <c r="K151" s="258"/>
    </row>
    <row r="153" spans="1:12" x14ac:dyDescent="0.45">
      <c r="A153" s="17" t="s">
        <v>484</v>
      </c>
    </row>
    <row r="154" spans="1:12" x14ac:dyDescent="0.45">
      <c r="A154" t="s">
        <v>85</v>
      </c>
      <c r="B154" s="210">
        <v>0.6</v>
      </c>
    </row>
    <row r="155" spans="1:12" x14ac:dyDescent="0.45">
      <c r="A155" t="s">
        <v>485</v>
      </c>
      <c r="B155" s="210">
        <v>0.6</v>
      </c>
    </row>
    <row r="156" spans="1:12" x14ac:dyDescent="0.45">
      <c r="A156" t="s">
        <v>486</v>
      </c>
      <c r="B156" s="210">
        <v>0.08</v>
      </c>
    </row>
    <row r="157" spans="1:12" x14ac:dyDescent="0.45">
      <c r="A157" t="s">
        <v>487</v>
      </c>
      <c r="B157">
        <v>100</v>
      </c>
      <c r="C157" t="s">
        <v>488</v>
      </c>
    </row>
    <row r="158" spans="1:12" x14ac:dyDescent="0.45">
      <c r="A158" t="s">
        <v>489</v>
      </c>
      <c r="B158">
        <v>2</v>
      </c>
      <c r="C158" t="s">
        <v>488</v>
      </c>
    </row>
    <row r="159" spans="1:12" x14ac:dyDescent="0.45">
      <c r="A159" t="s">
        <v>490</v>
      </c>
      <c r="B159">
        <v>1</v>
      </c>
    </row>
    <row r="160" spans="1:12" x14ac:dyDescent="0.45">
      <c r="A160" t="s">
        <v>491</v>
      </c>
      <c r="B160" s="210">
        <v>0.05</v>
      </c>
      <c r="C160" t="s">
        <v>492</v>
      </c>
    </row>
    <row r="161" spans="1:6" x14ac:dyDescent="0.45">
      <c r="A161" t="s">
        <v>493</v>
      </c>
      <c r="B161" s="210">
        <v>0.2</v>
      </c>
      <c r="C161" t="s">
        <v>494</v>
      </c>
    </row>
    <row r="162" spans="1:6" x14ac:dyDescent="0.45">
      <c r="B162" s="210"/>
    </row>
    <row r="163" spans="1:6" x14ac:dyDescent="0.45">
      <c r="A163" s="17" t="s">
        <v>495</v>
      </c>
      <c r="B163" s="210"/>
    </row>
    <row r="164" spans="1:6" x14ac:dyDescent="0.45">
      <c r="A164" s="31" t="s">
        <v>496</v>
      </c>
      <c r="B164" s="31">
        <f>B157*B156</f>
        <v>8</v>
      </c>
      <c r="C164" s="31" t="s">
        <v>497</v>
      </c>
      <c r="D164" s="31">
        <f>B164+B158</f>
        <v>10</v>
      </c>
      <c r="E164" s="31" t="s">
        <v>498</v>
      </c>
      <c r="F164" s="259">
        <f>B158/D164</f>
        <v>0.2</v>
      </c>
    </row>
    <row r="165" spans="1:6" x14ac:dyDescent="0.45">
      <c r="A165" s="31"/>
      <c r="B165" s="31"/>
      <c r="C165" s="31"/>
      <c r="D165" s="31"/>
      <c r="E165" s="31"/>
      <c r="F165" s="259"/>
    </row>
    <row r="166" spans="1:6" x14ac:dyDescent="0.45">
      <c r="A166" s="31"/>
      <c r="B166" s="31"/>
      <c r="C166" s="31"/>
      <c r="D166" s="31"/>
      <c r="E166" s="31"/>
      <c r="F166" s="259"/>
    </row>
    <row r="167" spans="1:6" x14ac:dyDescent="0.45">
      <c r="A167" s="17" t="s">
        <v>499</v>
      </c>
    </row>
    <row r="168" spans="1:6" x14ac:dyDescent="0.45">
      <c r="A168" t="s">
        <v>500</v>
      </c>
      <c r="B168">
        <f>B169/B170</f>
        <v>1</v>
      </c>
    </row>
    <row r="169" spans="1:6" x14ac:dyDescent="0.45">
      <c r="A169" t="s">
        <v>501</v>
      </c>
      <c r="B169">
        <v>1</v>
      </c>
      <c r="D169" t="s">
        <v>502</v>
      </c>
      <c r="E169" t="s">
        <v>503</v>
      </c>
      <c r="F169" s="97" t="s">
        <v>504</v>
      </c>
    </row>
    <row r="170" spans="1:6" x14ac:dyDescent="0.45">
      <c r="A170" t="s">
        <v>505</v>
      </c>
      <c r="B170">
        <v>1</v>
      </c>
      <c r="D170">
        <f>(B170/(B169+B170)*B172)</f>
        <v>0.1</v>
      </c>
      <c r="E170">
        <f>(B169/(B169+B170)*B173*(1-B171))</f>
        <v>2.0000000000000004E-2</v>
      </c>
      <c r="F170" s="212">
        <f>D170+E170</f>
        <v>0.12000000000000001</v>
      </c>
    </row>
    <row r="171" spans="1:6" x14ac:dyDescent="0.45">
      <c r="A171" t="s">
        <v>87</v>
      </c>
      <c r="B171" s="210">
        <f>F164</f>
        <v>0.2</v>
      </c>
    </row>
    <row r="172" spans="1:6" x14ac:dyDescent="0.45">
      <c r="A172" t="s">
        <v>494</v>
      </c>
      <c r="B172" s="210">
        <f>B161</f>
        <v>0.2</v>
      </c>
    </row>
    <row r="173" spans="1:6" x14ac:dyDescent="0.45">
      <c r="A173" t="s">
        <v>492</v>
      </c>
      <c r="B173" s="210">
        <f>B160</f>
        <v>0.05</v>
      </c>
    </row>
    <row r="175" spans="1:6" s="33" customFormat="1" x14ac:dyDescent="0.45">
      <c r="A175" s="34">
        <v>13</v>
      </c>
    </row>
    <row r="177" spans="1:10" x14ac:dyDescent="0.45">
      <c r="A177" t="s">
        <v>506</v>
      </c>
      <c r="B177" t="s">
        <v>507</v>
      </c>
      <c r="D177" s="17" t="s">
        <v>508</v>
      </c>
      <c r="E177" s="17" t="s">
        <v>509</v>
      </c>
      <c r="F177" s="17" t="s">
        <v>510</v>
      </c>
    </row>
    <row r="178" spans="1:10" x14ac:dyDescent="0.45">
      <c r="D178" t="s">
        <v>511</v>
      </c>
      <c r="E178" s="99">
        <v>0.15</v>
      </c>
      <c r="F178">
        <v>5</v>
      </c>
    </row>
    <row r="179" spans="1:10" x14ac:dyDescent="0.45">
      <c r="B179" s="260">
        <f>D178*(1+E178)^F178</f>
        <v>6034.0715624999984</v>
      </c>
    </row>
    <row r="181" spans="1:10" x14ac:dyDescent="0.45">
      <c r="A181" t="s">
        <v>512</v>
      </c>
      <c r="B181" t="s">
        <v>513</v>
      </c>
      <c r="D181" s="17" t="s">
        <v>366</v>
      </c>
      <c r="E181" s="17" t="s">
        <v>509</v>
      </c>
      <c r="F181" s="17" t="s">
        <v>510</v>
      </c>
    </row>
    <row r="182" spans="1:10" x14ac:dyDescent="0.45">
      <c r="D182" t="s">
        <v>514</v>
      </c>
      <c r="E182" s="99">
        <v>0.15</v>
      </c>
      <c r="F182">
        <v>6</v>
      </c>
    </row>
    <row r="183" spans="1:10" x14ac:dyDescent="0.45">
      <c r="B183" s="260">
        <f>D182/(1+E182)^F182</f>
        <v>5187.9311509386771</v>
      </c>
    </row>
    <row r="185" spans="1:10" s="33" customFormat="1" x14ac:dyDescent="0.45">
      <c r="A185" s="34">
        <v>14</v>
      </c>
    </row>
    <row r="187" spans="1:10" x14ac:dyDescent="0.45">
      <c r="A187" t="s">
        <v>515</v>
      </c>
      <c r="B187" t="s">
        <v>381</v>
      </c>
      <c r="C187" t="s">
        <v>516</v>
      </c>
      <c r="D187" t="s">
        <v>274</v>
      </c>
      <c r="E187" t="s">
        <v>517</v>
      </c>
      <c r="G187" t="s">
        <v>505</v>
      </c>
      <c r="H187">
        <v>1</v>
      </c>
      <c r="I187" t="s">
        <v>518</v>
      </c>
      <c r="J187">
        <v>2</v>
      </c>
    </row>
    <row r="188" spans="1:10" x14ac:dyDescent="0.45">
      <c r="G188" t="s">
        <v>501</v>
      </c>
      <c r="H188">
        <v>2</v>
      </c>
      <c r="I188" s="261" t="s">
        <v>519</v>
      </c>
      <c r="J188" s="17">
        <f>H188/H187</f>
        <v>2</v>
      </c>
    </row>
    <row r="189" spans="1:10" x14ac:dyDescent="0.45">
      <c r="B189" t="s">
        <v>381</v>
      </c>
      <c r="C189" s="42">
        <f>(H187/(H187+H188))*H189</f>
        <v>3.9999999999999994E-2</v>
      </c>
      <c r="D189" t="s">
        <v>274</v>
      </c>
      <c r="E189" s="42">
        <f>(H188/(H187+H188))*H190*(1-H191)</f>
        <v>3.9999999999999994E-2</v>
      </c>
      <c r="G189" t="s">
        <v>494</v>
      </c>
      <c r="H189" s="99">
        <v>0.12</v>
      </c>
    </row>
    <row r="190" spans="1:10" x14ac:dyDescent="0.45">
      <c r="G190" t="s">
        <v>492</v>
      </c>
      <c r="H190" s="99">
        <v>0.08</v>
      </c>
    </row>
    <row r="191" spans="1:10" x14ac:dyDescent="0.45">
      <c r="B191" t="s">
        <v>381</v>
      </c>
      <c r="C191" s="99">
        <f>C189+E189</f>
        <v>7.9999999999999988E-2</v>
      </c>
      <c r="G191" t="s">
        <v>520</v>
      </c>
      <c r="H191" s="99">
        <v>0.25</v>
      </c>
    </row>
    <row r="193" spans="1:9" x14ac:dyDescent="0.45">
      <c r="A193" t="s">
        <v>521</v>
      </c>
      <c r="B193" s="464" t="s">
        <v>522</v>
      </c>
      <c r="C193" s="464"/>
      <c r="D193" s="464"/>
      <c r="E193" s="464"/>
      <c r="F193" s="464"/>
      <c r="G193" s="464"/>
      <c r="H193" s="464"/>
      <c r="I193" s="464"/>
    </row>
    <row r="194" spans="1:9" x14ac:dyDescent="0.45">
      <c r="B194" s="464"/>
      <c r="C194" s="464"/>
      <c r="D194" s="464"/>
      <c r="E194" s="464"/>
      <c r="F194" s="464"/>
      <c r="G194" s="464"/>
      <c r="H194" s="464"/>
      <c r="I194" s="464"/>
    </row>
    <row r="196" spans="1:9" s="33" customFormat="1" x14ac:dyDescent="0.45">
      <c r="A196" s="34">
        <v>15</v>
      </c>
    </row>
    <row r="198" spans="1:9" x14ac:dyDescent="0.45">
      <c r="A198" s="38" t="s">
        <v>523</v>
      </c>
      <c r="E198" t="s">
        <v>524</v>
      </c>
      <c r="F198" t="s">
        <v>525</v>
      </c>
      <c r="H198" t="s">
        <v>526</v>
      </c>
      <c r="I198" s="99">
        <v>1</v>
      </c>
    </row>
    <row r="199" spans="1:9" x14ac:dyDescent="0.45">
      <c r="H199" t="s">
        <v>505</v>
      </c>
      <c r="I199" s="99">
        <v>0</v>
      </c>
    </row>
    <row r="200" spans="1:9" x14ac:dyDescent="0.45">
      <c r="H200" t="s">
        <v>527</v>
      </c>
      <c r="I200" s="99">
        <v>0.28000000000000003</v>
      </c>
    </row>
    <row r="201" spans="1:9" x14ac:dyDescent="0.45">
      <c r="A201" t="s">
        <v>528</v>
      </c>
      <c r="B201" t="s">
        <v>373</v>
      </c>
      <c r="C201" t="s">
        <v>381</v>
      </c>
    </row>
    <row r="202" spans="1:9" x14ac:dyDescent="0.45">
      <c r="A202" t="s">
        <v>529</v>
      </c>
      <c r="B202" s="99">
        <v>0.01</v>
      </c>
      <c r="C202" s="215">
        <f>(1/(1+0))*B202*(1-$I$200)</f>
        <v>7.1999999999999998E-3</v>
      </c>
    </row>
    <row r="203" spans="1:9" x14ac:dyDescent="0.45">
      <c r="A203" t="s">
        <v>530</v>
      </c>
      <c r="B203" s="42">
        <v>7.1999999999999995E-2</v>
      </c>
      <c r="C203" s="215">
        <f t="shared" ref="C203:C205" si="9">(1/(1+0))*B203*(1-$I$200)</f>
        <v>5.1839999999999997E-2</v>
      </c>
    </row>
    <row r="204" spans="1:9" x14ac:dyDescent="0.45">
      <c r="A204" t="s">
        <v>531</v>
      </c>
      <c r="B204" s="99">
        <v>0.15</v>
      </c>
      <c r="C204" s="215">
        <f t="shared" si="9"/>
        <v>0.108</v>
      </c>
    </row>
    <row r="205" spans="1:9" x14ac:dyDescent="0.45">
      <c r="A205" t="s">
        <v>532</v>
      </c>
      <c r="B205" s="99">
        <v>0.11</v>
      </c>
      <c r="C205" s="262">
        <f t="shared" si="9"/>
        <v>7.9199999999999993E-2</v>
      </c>
      <c r="D205" s="17" t="s">
        <v>533</v>
      </c>
      <c r="E205" s="17" t="s">
        <v>534</v>
      </c>
    </row>
    <row r="207" spans="1:9" s="33" customFormat="1" x14ac:dyDescent="0.45">
      <c r="A207" s="34">
        <v>16</v>
      </c>
    </row>
    <row r="208" spans="1:9" x14ac:dyDescent="0.45">
      <c r="A208" s="206"/>
      <c r="B208" s="206"/>
      <c r="C208" s="206"/>
      <c r="D208" s="206"/>
      <c r="E208" s="206"/>
      <c r="F208" s="206"/>
      <c r="G208" s="206"/>
      <c r="H208" s="206"/>
      <c r="I208" s="206"/>
    </row>
    <row r="209" spans="1:9" ht="14.65" thickBot="1" x14ac:dyDescent="0.5">
      <c r="A209" s="263"/>
      <c r="B209" s="264">
        <v>0</v>
      </c>
      <c r="C209" s="264">
        <v>1</v>
      </c>
      <c r="D209" s="264">
        <v>2</v>
      </c>
      <c r="E209" s="264">
        <v>3</v>
      </c>
      <c r="F209" s="264">
        <v>4</v>
      </c>
      <c r="G209" s="264">
        <v>5</v>
      </c>
      <c r="H209" s="237"/>
      <c r="I209" s="206"/>
    </row>
    <row r="210" spans="1:9" x14ac:dyDescent="0.45">
      <c r="A210" s="265" t="s">
        <v>96</v>
      </c>
      <c r="B210" s="266"/>
      <c r="C210" s="266">
        <v>70000</v>
      </c>
      <c r="D210" s="266">
        <f>C210*2</f>
        <v>140000</v>
      </c>
      <c r="E210" s="266">
        <f>D210*1.5</f>
        <v>210000</v>
      </c>
      <c r="F210" s="266">
        <f>E210*1.35</f>
        <v>283500</v>
      </c>
      <c r="G210" s="266">
        <f>F210*1.15</f>
        <v>326025</v>
      </c>
      <c r="H210" s="237"/>
      <c r="I210" s="206"/>
    </row>
    <row r="211" spans="1:9" x14ac:dyDescent="0.45">
      <c r="A211" s="265" t="s">
        <v>535</v>
      </c>
      <c r="B211" s="263"/>
      <c r="C211" s="263">
        <f>0.25*C210</f>
        <v>17500</v>
      </c>
      <c r="D211" s="263">
        <f t="shared" ref="D211:F211" si="10">0.25*D210</f>
        <v>35000</v>
      </c>
      <c r="E211" s="263">
        <f t="shared" si="10"/>
        <v>52500</v>
      </c>
      <c r="F211" s="263">
        <f t="shared" si="10"/>
        <v>70875</v>
      </c>
      <c r="G211" s="263">
        <f>0.25*G210</f>
        <v>81506.25</v>
      </c>
      <c r="H211" s="237"/>
      <c r="I211" s="206"/>
    </row>
    <row r="212" spans="1:9" x14ac:dyDescent="0.45">
      <c r="A212" s="265" t="s">
        <v>86</v>
      </c>
      <c r="B212" s="263"/>
      <c r="C212" s="263">
        <f>35000</f>
        <v>35000</v>
      </c>
      <c r="D212" s="263">
        <f>35000</f>
        <v>35000</v>
      </c>
      <c r="E212" s="263">
        <f>35000</f>
        <v>35000</v>
      </c>
      <c r="F212" s="263">
        <f>35000</f>
        <v>35000</v>
      </c>
      <c r="G212" s="263">
        <f>35000</f>
        <v>35000</v>
      </c>
      <c r="H212" s="237"/>
      <c r="I212" s="206"/>
    </row>
    <row r="213" spans="1:9" x14ac:dyDescent="0.45">
      <c r="A213" s="265" t="s">
        <v>407</v>
      </c>
      <c r="B213" s="263"/>
      <c r="C213" s="263">
        <f>C210-C211-C212</f>
        <v>17500</v>
      </c>
      <c r="D213" s="263">
        <f t="shared" ref="D213:G213" si="11">D210-D211-D212</f>
        <v>70000</v>
      </c>
      <c r="E213" s="263">
        <f t="shared" si="11"/>
        <v>122500</v>
      </c>
      <c r="F213" s="263">
        <f t="shared" si="11"/>
        <v>177625</v>
      </c>
      <c r="G213" s="263">
        <f t="shared" si="11"/>
        <v>209518.75</v>
      </c>
      <c r="H213" s="237"/>
      <c r="I213" s="206"/>
    </row>
    <row r="214" spans="1:9" x14ac:dyDescent="0.45">
      <c r="A214" s="265" t="s">
        <v>288</v>
      </c>
      <c r="B214" s="263"/>
      <c r="C214" s="263">
        <f>(150000-15000)/5</f>
        <v>27000</v>
      </c>
      <c r="D214" s="263">
        <f t="shared" ref="D214:G214" si="12">(150000-15000)/5</f>
        <v>27000</v>
      </c>
      <c r="E214" s="263">
        <f t="shared" si="12"/>
        <v>27000</v>
      </c>
      <c r="F214" s="263">
        <f t="shared" si="12"/>
        <v>27000</v>
      </c>
      <c r="G214" s="263">
        <f t="shared" si="12"/>
        <v>27000</v>
      </c>
      <c r="H214" s="237"/>
      <c r="I214" s="206"/>
    </row>
    <row r="215" spans="1:9" x14ac:dyDescent="0.45">
      <c r="A215" s="265" t="s">
        <v>415</v>
      </c>
      <c r="B215" s="263"/>
      <c r="C215" s="263">
        <f>C213-C214</f>
        <v>-9500</v>
      </c>
      <c r="D215" s="263">
        <f t="shared" ref="D215:G215" si="13">D213-D214</f>
        <v>43000</v>
      </c>
      <c r="E215" s="263">
        <f t="shared" si="13"/>
        <v>95500</v>
      </c>
      <c r="F215" s="263">
        <f t="shared" si="13"/>
        <v>150625</v>
      </c>
      <c r="G215" s="263">
        <f t="shared" si="13"/>
        <v>182518.75</v>
      </c>
      <c r="H215" s="237"/>
      <c r="I215" s="206"/>
    </row>
    <row r="216" spans="1:9" x14ac:dyDescent="0.45">
      <c r="A216" s="265" t="s">
        <v>536</v>
      </c>
      <c r="B216" s="263"/>
      <c r="C216" s="263"/>
      <c r="D216" s="263">
        <f>0.25*D215-2375</f>
        <v>8375</v>
      </c>
      <c r="E216" s="263">
        <f t="shared" ref="E216:G216" si="14">0.25*E215</f>
        <v>23875</v>
      </c>
      <c r="F216" s="263">
        <f t="shared" si="14"/>
        <v>37656.25</v>
      </c>
      <c r="G216" s="263">
        <f t="shared" si="14"/>
        <v>45629.6875</v>
      </c>
      <c r="H216" s="237"/>
      <c r="I216" s="206"/>
    </row>
    <row r="217" spans="1:9" x14ac:dyDescent="0.45">
      <c r="A217" s="265" t="s">
        <v>2</v>
      </c>
      <c r="B217" s="263"/>
      <c r="C217" s="263">
        <f>C215-C216</f>
        <v>-9500</v>
      </c>
      <c r="D217" s="263">
        <f t="shared" ref="D217:G217" si="15">D215-D216</f>
        <v>34625</v>
      </c>
      <c r="E217" s="263">
        <f t="shared" si="15"/>
        <v>71625</v>
      </c>
      <c r="F217" s="263">
        <f t="shared" si="15"/>
        <v>112968.75</v>
      </c>
      <c r="G217" s="263">
        <f t="shared" si="15"/>
        <v>136889.0625</v>
      </c>
      <c r="H217" s="237"/>
      <c r="I217" s="206"/>
    </row>
    <row r="218" spans="1:9" x14ac:dyDescent="0.45">
      <c r="A218" s="265" t="s">
        <v>288</v>
      </c>
      <c r="B218" s="263"/>
      <c r="C218" s="263">
        <f>C214</f>
        <v>27000</v>
      </c>
      <c r="D218" s="263">
        <f t="shared" ref="D218:G218" si="16">D214</f>
        <v>27000</v>
      </c>
      <c r="E218" s="263">
        <f t="shared" si="16"/>
        <v>27000</v>
      </c>
      <c r="F218" s="263">
        <f t="shared" si="16"/>
        <v>27000</v>
      </c>
      <c r="G218" s="263">
        <f t="shared" si="16"/>
        <v>27000</v>
      </c>
      <c r="H218" s="237"/>
      <c r="I218" s="206"/>
    </row>
    <row r="219" spans="1:9" x14ac:dyDescent="0.45">
      <c r="A219" s="265" t="s">
        <v>537</v>
      </c>
      <c r="B219" s="263"/>
      <c r="C219" s="263"/>
      <c r="D219" s="263"/>
      <c r="E219" s="263"/>
      <c r="F219" s="263"/>
      <c r="G219" s="263">
        <v>15000</v>
      </c>
      <c r="H219" s="237"/>
      <c r="I219" s="206"/>
    </row>
    <row r="220" spans="1:9" x14ac:dyDescent="0.45">
      <c r="A220" s="265" t="s">
        <v>391</v>
      </c>
      <c r="B220" s="263"/>
      <c r="C220" s="263">
        <f>C217+C218+C219</f>
        <v>17500</v>
      </c>
      <c r="D220" s="263">
        <f t="shared" ref="D220:F220" si="17">D217+D218+D219</f>
        <v>61625</v>
      </c>
      <c r="E220" s="263">
        <f t="shared" si="17"/>
        <v>98625</v>
      </c>
      <c r="F220" s="263">
        <f t="shared" si="17"/>
        <v>139968.75</v>
      </c>
      <c r="G220" s="263">
        <f>G217+G218+G219</f>
        <v>178889.0625</v>
      </c>
      <c r="H220" s="237"/>
      <c r="I220" s="206"/>
    </row>
    <row r="221" spans="1:9" x14ac:dyDescent="0.45">
      <c r="A221" s="265" t="s">
        <v>538</v>
      </c>
      <c r="B221" s="263"/>
      <c r="C221" s="263">
        <f>C220*1.1^-C209</f>
        <v>15909.090909090908</v>
      </c>
      <c r="D221" s="263">
        <f>D220*1.1^-D209</f>
        <v>50929.752066115696</v>
      </c>
      <c r="E221" s="263">
        <f t="shared" ref="E221:G221" si="18">E220*1.1^-E209</f>
        <v>74098.42223891808</v>
      </c>
      <c r="F221" s="263">
        <f t="shared" si="18"/>
        <v>95600.539580629717</v>
      </c>
      <c r="G221" s="263">
        <f t="shared" si="18"/>
        <v>111076.03336831185</v>
      </c>
      <c r="H221" s="237"/>
      <c r="I221" s="206"/>
    </row>
    <row r="222" spans="1:9" x14ac:dyDescent="0.45">
      <c r="A222" s="265" t="s">
        <v>539</v>
      </c>
      <c r="B222" s="263">
        <f>C221+D221+E221+F221+G221</f>
        <v>347613.83816306631</v>
      </c>
      <c r="C222" s="263"/>
      <c r="D222" s="263"/>
      <c r="E222" s="263"/>
      <c r="F222" s="263"/>
      <c r="G222" s="263"/>
      <c r="H222" s="237"/>
      <c r="I222" s="206"/>
    </row>
    <row r="223" spans="1:9" x14ac:dyDescent="0.45">
      <c r="A223" s="265" t="s">
        <v>470</v>
      </c>
      <c r="B223" s="263">
        <f>B222-150000</f>
        <v>197613.83816306631</v>
      </c>
      <c r="C223" s="263"/>
      <c r="D223" s="263"/>
      <c r="E223" s="263"/>
      <c r="F223" s="263"/>
      <c r="G223" s="263"/>
      <c r="H223" s="237"/>
      <c r="I223" s="206"/>
    </row>
    <row r="224" spans="1:9" x14ac:dyDescent="0.45">
      <c r="A224" s="267" t="s">
        <v>471</v>
      </c>
      <c r="B224" s="268">
        <f>B222/150000</f>
        <v>2.3174255877537755</v>
      </c>
      <c r="C224" s="268"/>
      <c r="D224" s="268"/>
      <c r="E224" s="268"/>
      <c r="F224" s="268"/>
      <c r="G224" s="268"/>
      <c r="H224" s="269"/>
      <c r="I224" s="228"/>
    </row>
    <row r="225" spans="1:12" x14ac:dyDescent="0.45">
      <c r="A225" s="267"/>
      <c r="B225" s="268"/>
      <c r="C225" s="268"/>
      <c r="D225" s="268"/>
      <c r="E225" s="268"/>
      <c r="F225" s="268"/>
      <c r="G225" s="268"/>
      <c r="H225" s="269"/>
      <c r="I225" s="228"/>
    </row>
    <row r="226" spans="1:12" s="206" customFormat="1" ht="15.75" x14ac:dyDescent="0.45">
      <c r="A226" s="512" t="s">
        <v>540</v>
      </c>
      <c r="B226" s="512"/>
      <c r="C226" s="512"/>
      <c r="D226" s="512"/>
      <c r="E226" s="512"/>
      <c r="F226" s="512"/>
      <c r="G226" s="512"/>
      <c r="H226" s="512"/>
      <c r="I226" s="512"/>
      <c r="J226" s="512"/>
      <c r="K226" s="512"/>
      <c r="L226" s="512"/>
    </row>
    <row r="227" spans="1:12" s="206" customFormat="1" ht="15.5" customHeight="1" x14ac:dyDescent="0.45">
      <c r="A227" s="512" t="s">
        <v>541</v>
      </c>
      <c r="B227" s="512"/>
      <c r="C227" s="512"/>
      <c r="D227" s="512"/>
      <c r="E227" s="512"/>
      <c r="F227" s="512"/>
      <c r="G227" s="512"/>
      <c r="H227" s="512"/>
      <c r="I227" s="512"/>
      <c r="J227" s="271"/>
      <c r="K227" s="271"/>
      <c r="L227" s="271"/>
    </row>
    <row r="228" spans="1:12" s="206" customFormat="1" ht="15.75" x14ac:dyDescent="0.45">
      <c r="A228" s="512"/>
      <c r="B228" s="512"/>
      <c r="C228" s="512"/>
      <c r="D228" s="512"/>
      <c r="E228" s="512"/>
      <c r="F228" s="512"/>
      <c r="G228" s="512"/>
      <c r="H228" s="512"/>
      <c r="I228" s="512"/>
      <c r="J228" s="270"/>
      <c r="K228" s="270"/>
      <c r="L228" s="270"/>
    </row>
    <row r="229" spans="1:12" s="206" customFormat="1" ht="15.75" x14ac:dyDescent="0.45">
      <c r="A229" s="512"/>
      <c r="B229" s="512"/>
      <c r="C229" s="512"/>
      <c r="D229" s="512"/>
      <c r="E229" s="512"/>
      <c r="F229" s="512"/>
      <c r="G229" s="512"/>
      <c r="H229" s="512"/>
      <c r="I229" s="512"/>
      <c r="J229" s="270"/>
      <c r="K229" s="270"/>
      <c r="L229" s="270"/>
    </row>
    <row r="230" spans="1:12" s="206" customFormat="1" x14ac:dyDescent="0.45">
      <c r="A230" s="263"/>
      <c r="B230" s="263"/>
      <c r="C230" s="263"/>
      <c r="D230" s="263"/>
      <c r="E230" s="263"/>
      <c r="F230" s="263"/>
      <c r="G230" s="263"/>
    </row>
    <row r="231" spans="1:12" x14ac:dyDescent="0.45">
      <c r="A231" s="34">
        <v>17</v>
      </c>
      <c r="B231" s="33"/>
      <c r="C231" s="33"/>
      <c r="D231" s="33"/>
      <c r="E231" s="33"/>
      <c r="F231" s="33"/>
      <c r="G231" s="33"/>
      <c r="H231" s="33"/>
      <c r="I231" s="33"/>
      <c r="J231" s="33"/>
      <c r="K231" s="33"/>
      <c r="L231" s="33"/>
    </row>
    <row r="232" spans="1:12" x14ac:dyDescent="0.45">
      <c r="A232" s="206"/>
      <c r="B232" s="206"/>
      <c r="C232" s="272" t="s">
        <v>542</v>
      </c>
      <c r="D232" s="206"/>
      <c r="E232" s="206"/>
      <c r="F232" s="206"/>
      <c r="G232" s="206"/>
      <c r="H232" s="206"/>
      <c r="I232" s="273"/>
    </row>
    <row r="233" spans="1:12" ht="15.75" x14ac:dyDescent="0.45">
      <c r="A233" s="274" t="s">
        <v>410</v>
      </c>
      <c r="B233" s="275"/>
      <c r="C233" s="276">
        <v>1</v>
      </c>
      <c r="D233" s="276">
        <v>2</v>
      </c>
      <c r="E233" s="276">
        <v>3</v>
      </c>
      <c r="F233" s="276">
        <v>4</v>
      </c>
      <c r="G233" s="276">
        <v>5</v>
      </c>
      <c r="H233" s="206"/>
    </row>
    <row r="234" spans="1:12" ht="15.75" x14ac:dyDescent="0.45">
      <c r="A234" s="275">
        <v>-90000</v>
      </c>
      <c r="B234" s="275"/>
      <c r="C234" s="275">
        <v>15000</v>
      </c>
      <c r="D234" s="275">
        <v>27500</v>
      </c>
      <c r="E234" s="275">
        <v>44850</v>
      </c>
      <c r="F234" s="275">
        <v>55650</v>
      </c>
      <c r="G234" s="275">
        <v>65000</v>
      </c>
      <c r="H234" s="206"/>
    </row>
    <row r="235" spans="1:12" ht="15.75" x14ac:dyDescent="0.45">
      <c r="A235" s="275"/>
      <c r="B235" s="275"/>
      <c r="C235" s="275"/>
      <c r="D235" s="275"/>
      <c r="E235" s="275"/>
      <c r="F235" s="275"/>
      <c r="G235" s="275"/>
      <c r="H235" s="206"/>
    </row>
    <row r="236" spans="1:12" ht="15.75" x14ac:dyDescent="0.45">
      <c r="A236" s="275"/>
      <c r="B236" s="275"/>
      <c r="C236" s="275" t="s">
        <v>394</v>
      </c>
      <c r="D236" s="275">
        <f>A234+C234</f>
        <v>-75000</v>
      </c>
      <c r="E236" s="275"/>
      <c r="F236" s="275"/>
      <c r="G236" s="275"/>
      <c r="H236" s="206"/>
    </row>
    <row r="237" spans="1:12" ht="15.75" x14ac:dyDescent="0.45">
      <c r="A237" s="275"/>
      <c r="B237" s="275"/>
      <c r="C237" s="275" t="s">
        <v>543</v>
      </c>
      <c r="D237" s="275">
        <f>D236+D234</f>
        <v>-47500</v>
      </c>
      <c r="E237" s="275"/>
      <c r="F237" s="275"/>
      <c r="G237" s="275"/>
      <c r="H237" s="206"/>
    </row>
    <row r="238" spans="1:12" ht="15.75" x14ac:dyDescent="0.45">
      <c r="A238" s="275"/>
      <c r="B238" s="275"/>
      <c r="C238" s="275" t="s">
        <v>544</v>
      </c>
      <c r="D238" s="275">
        <f>D237+E234</f>
        <v>-2650</v>
      </c>
      <c r="E238" s="275" t="s">
        <v>545</v>
      </c>
      <c r="F238" s="275"/>
      <c r="G238" s="275"/>
      <c r="H238" s="206"/>
    </row>
    <row r="239" spans="1:12" ht="15.75" x14ac:dyDescent="0.45">
      <c r="A239" s="275"/>
      <c r="B239" s="275"/>
      <c r="C239" s="275"/>
      <c r="D239" s="275"/>
      <c r="E239" s="275"/>
      <c r="F239" s="275"/>
      <c r="G239" s="275"/>
      <c r="H239" s="206"/>
    </row>
    <row r="240" spans="1:12" ht="15.75" x14ac:dyDescent="0.45">
      <c r="A240" s="275"/>
      <c r="B240" s="275"/>
      <c r="C240" s="275"/>
      <c r="D240" s="275">
        <v>2650</v>
      </c>
      <c r="E240" s="275"/>
      <c r="F240" s="275"/>
      <c r="G240" s="275"/>
      <c r="H240" s="206"/>
    </row>
    <row r="241" spans="1:12" ht="15.75" x14ac:dyDescent="0.45">
      <c r="A241" s="275"/>
      <c r="B241" s="275"/>
      <c r="C241" s="275"/>
      <c r="D241" s="275">
        <f>D240/F234</f>
        <v>4.7619047619047616E-2</v>
      </c>
      <c r="E241" s="275"/>
      <c r="F241" s="275"/>
      <c r="G241" s="275"/>
      <c r="H241" s="206"/>
    </row>
    <row r="242" spans="1:12" ht="15.75" x14ac:dyDescent="0.45">
      <c r="A242" s="275"/>
      <c r="B242" s="275"/>
      <c r="C242" s="275" t="s">
        <v>546</v>
      </c>
      <c r="D242" s="277">
        <f>3+D241</f>
        <v>3.0476190476190474</v>
      </c>
      <c r="E242" s="275"/>
      <c r="F242" s="275"/>
      <c r="G242" s="275"/>
      <c r="H242" s="206"/>
    </row>
    <row r="243" spans="1:12" ht="15.75" x14ac:dyDescent="0.45">
      <c r="A243" s="275"/>
      <c r="B243" s="275"/>
      <c r="C243" s="278"/>
      <c r="D243" s="278"/>
      <c r="E243" s="278"/>
      <c r="F243" s="275"/>
      <c r="G243" s="275"/>
      <c r="H243" s="206"/>
    </row>
    <row r="244" spans="1:12" ht="15.75" x14ac:dyDescent="0.45">
      <c r="A244" s="275" t="s">
        <v>547</v>
      </c>
      <c r="B244" s="275"/>
      <c r="C244" s="278"/>
      <c r="D244" s="278"/>
      <c r="E244" s="278"/>
      <c r="F244" s="275"/>
      <c r="G244" s="275"/>
      <c r="H244" s="206"/>
    </row>
    <row r="245" spans="1:12" ht="15.75" x14ac:dyDescent="0.45">
      <c r="A245" s="275"/>
      <c r="B245" s="275"/>
      <c r="C245" s="278"/>
      <c r="D245" s="278"/>
      <c r="E245" s="278"/>
      <c r="F245" s="275"/>
      <c r="G245" s="275"/>
      <c r="H245" s="206"/>
    </row>
    <row r="246" spans="1:12" ht="15.5" customHeight="1" x14ac:dyDescent="0.45">
      <c r="A246" s="513" t="s">
        <v>548</v>
      </c>
      <c r="B246" s="514"/>
      <c r="C246" s="514"/>
      <c r="D246" s="514"/>
      <c r="E246" s="514"/>
      <c r="F246" s="514"/>
      <c r="G246" s="514"/>
      <c r="H246" s="514"/>
      <c r="I246" s="514"/>
      <c r="J246" s="514"/>
    </row>
    <row r="247" spans="1:12" ht="15.5" customHeight="1" x14ac:dyDescent="0.45">
      <c r="A247" s="513"/>
      <c r="B247" s="514"/>
      <c r="C247" s="514"/>
      <c r="D247" s="514"/>
      <c r="E247" s="514"/>
      <c r="F247" s="514"/>
      <c r="G247" s="514"/>
      <c r="H247" s="514"/>
      <c r="I247" s="514"/>
      <c r="J247" s="514"/>
    </row>
    <row r="248" spans="1:12" ht="15.5" customHeight="1" x14ac:dyDescent="0.45">
      <c r="A248" s="513"/>
      <c r="B248" s="514"/>
      <c r="C248" s="514"/>
      <c r="D248" s="514"/>
      <c r="E248" s="514"/>
      <c r="F248" s="514"/>
      <c r="G248" s="514"/>
      <c r="H248" s="514"/>
      <c r="I248" s="514"/>
      <c r="J248" s="514"/>
    </row>
    <row r="249" spans="1:12" ht="15.5" customHeight="1" x14ac:dyDescent="0.45">
      <c r="A249" s="513"/>
      <c r="B249" s="514"/>
      <c r="C249" s="514"/>
      <c r="D249" s="514"/>
      <c r="E249" s="514"/>
      <c r="F249" s="514"/>
      <c r="G249" s="514"/>
      <c r="H249" s="514"/>
      <c r="I249" s="514"/>
      <c r="J249" s="514"/>
    </row>
    <row r="250" spans="1:12" x14ac:dyDescent="0.45">
      <c r="A250" s="34">
        <v>18</v>
      </c>
      <c r="B250" s="33"/>
      <c r="C250" s="33"/>
      <c r="D250" s="33"/>
      <c r="E250" s="33"/>
      <c r="F250" s="33"/>
      <c r="G250" s="33"/>
      <c r="H250" s="33"/>
      <c r="I250" s="33"/>
      <c r="J250" s="33"/>
      <c r="K250" s="33"/>
      <c r="L250" s="33"/>
    </row>
    <row r="251" spans="1:12" x14ac:dyDescent="0.45">
      <c r="A251" s="206"/>
      <c r="B251" s="206"/>
      <c r="C251" s="206"/>
      <c r="D251" s="206"/>
    </row>
    <row r="252" spans="1:12" x14ac:dyDescent="0.45">
      <c r="A252" s="263" t="s">
        <v>549</v>
      </c>
      <c r="B252" s="263"/>
      <c r="C252" s="263"/>
      <c r="D252" s="206"/>
    </row>
    <row r="253" spans="1:12" x14ac:dyDescent="0.45">
      <c r="A253" s="263" t="s">
        <v>550</v>
      </c>
      <c r="B253" s="263"/>
      <c r="C253" s="263"/>
      <c r="D253" s="206"/>
    </row>
    <row r="254" spans="1:12" x14ac:dyDescent="0.45">
      <c r="A254" s="263" t="s">
        <v>551</v>
      </c>
      <c r="B254" s="263"/>
      <c r="C254" s="263"/>
      <c r="D254" s="206"/>
    </row>
    <row r="255" spans="1:12" x14ac:dyDescent="0.45">
      <c r="A255" s="263" t="s">
        <v>552</v>
      </c>
      <c r="B255" s="263" t="s">
        <v>214</v>
      </c>
      <c r="C255" s="279">
        <f>0.09/4</f>
        <v>2.2499999999999999E-2</v>
      </c>
      <c r="D255" s="206"/>
    </row>
    <row r="256" spans="1:12" x14ac:dyDescent="0.45">
      <c r="A256" s="263"/>
      <c r="B256" s="263"/>
      <c r="C256" s="263"/>
      <c r="D256" s="206"/>
    </row>
    <row r="257" spans="1:12" x14ac:dyDescent="0.45">
      <c r="A257" s="263" t="s">
        <v>553</v>
      </c>
      <c r="B257" s="263"/>
      <c r="C257" s="263"/>
      <c r="D257" s="206"/>
    </row>
    <row r="258" spans="1:12" x14ac:dyDescent="0.45">
      <c r="A258" s="263"/>
      <c r="B258" s="263"/>
      <c r="C258" s="263"/>
      <c r="D258" s="206"/>
    </row>
    <row r="259" spans="1:12" x14ac:dyDescent="0.45">
      <c r="A259" s="280">
        <f>10000/(1+C255)^20</f>
        <v>6408.1647167554256</v>
      </c>
      <c r="B259" s="281" t="s">
        <v>554</v>
      </c>
      <c r="C259" s="281"/>
      <c r="D259" s="206"/>
    </row>
    <row r="260" spans="1:12" x14ac:dyDescent="0.45">
      <c r="A260" s="206"/>
      <c r="B260" s="206"/>
      <c r="C260" s="206"/>
      <c r="D260" s="206"/>
    </row>
    <row r="261" spans="1:12" x14ac:dyDescent="0.45">
      <c r="A261" s="34">
        <v>19</v>
      </c>
      <c r="B261" s="33"/>
      <c r="C261" s="33"/>
      <c r="D261" s="33"/>
      <c r="E261" s="33"/>
      <c r="F261" s="33"/>
      <c r="G261" s="33"/>
      <c r="H261" s="33"/>
      <c r="I261" s="33"/>
      <c r="J261" s="33"/>
      <c r="K261" s="33"/>
      <c r="L261" s="33"/>
    </row>
    <row r="262" spans="1:12" ht="14.65" thickBot="1" x14ac:dyDescent="0.5"/>
    <row r="263" spans="1:12" ht="15.75" x14ac:dyDescent="0.5">
      <c r="A263" s="510" t="s">
        <v>555</v>
      </c>
      <c r="B263" s="511"/>
      <c r="C263" s="282">
        <v>148594.74</v>
      </c>
    </row>
    <row r="264" spans="1:12" ht="15.75" x14ac:dyDescent="0.5">
      <c r="A264" s="510" t="s">
        <v>556</v>
      </c>
      <c r="B264" s="511"/>
      <c r="C264" s="283">
        <v>10</v>
      </c>
    </row>
    <row r="265" spans="1:12" ht="15.75" x14ac:dyDescent="0.5">
      <c r="A265" s="510" t="s">
        <v>557</v>
      </c>
      <c r="B265" s="511"/>
      <c r="C265" s="284">
        <v>0.04</v>
      </c>
    </row>
    <row r="266" spans="1:12" ht="16.149999999999999" thickBot="1" x14ac:dyDescent="0.55000000000000004">
      <c r="A266" s="510" t="s">
        <v>558</v>
      </c>
      <c r="B266" s="511"/>
      <c r="C266" s="285" t="s">
        <v>559</v>
      </c>
    </row>
    <row r="268" spans="1:12" x14ac:dyDescent="0.45">
      <c r="A268" t="s">
        <v>560</v>
      </c>
    </row>
    <row r="270" spans="1:12" x14ac:dyDescent="0.45">
      <c r="A270" t="s">
        <v>561</v>
      </c>
      <c r="B270">
        <f>10*2</f>
        <v>20</v>
      </c>
    </row>
    <row r="271" spans="1:12" x14ac:dyDescent="0.45">
      <c r="A271" t="s">
        <v>562</v>
      </c>
      <c r="B271" s="210">
        <f>4%/2</f>
        <v>0.02</v>
      </c>
    </row>
    <row r="272" spans="1:12" x14ac:dyDescent="0.45">
      <c r="A272" t="s">
        <v>563</v>
      </c>
      <c r="B272" s="286">
        <f>C263/(1+B271)^B270</f>
        <v>100000.00027064522</v>
      </c>
    </row>
    <row r="274" spans="1:12" x14ac:dyDescent="0.45">
      <c r="A274" s="34">
        <v>20</v>
      </c>
      <c r="B274" s="33"/>
      <c r="C274" s="33"/>
      <c r="D274" s="33"/>
      <c r="E274" s="33"/>
      <c r="F274" s="33"/>
      <c r="G274" s="33"/>
      <c r="H274" s="33"/>
      <c r="I274" s="33"/>
      <c r="J274" s="33"/>
      <c r="K274" s="33"/>
      <c r="L274" s="33"/>
    </row>
    <row r="276" spans="1:12" ht="15.75" x14ac:dyDescent="0.5">
      <c r="A276" s="287" t="s">
        <v>410</v>
      </c>
      <c r="B276" s="288">
        <v>1000000</v>
      </c>
    </row>
    <row r="277" spans="1:12" ht="15.75" x14ac:dyDescent="0.5">
      <c r="A277" s="287" t="s">
        <v>564</v>
      </c>
      <c r="B277" s="288">
        <v>40000</v>
      </c>
    </row>
    <row r="278" spans="1:12" ht="15.75" x14ac:dyDescent="0.5">
      <c r="A278" s="287" t="s">
        <v>371</v>
      </c>
      <c r="B278" s="289">
        <v>0.12</v>
      </c>
    </row>
    <row r="279" spans="1:12" ht="15.75" x14ac:dyDescent="0.5">
      <c r="A279" s="287" t="s">
        <v>565</v>
      </c>
      <c r="B279" s="289">
        <v>0.25</v>
      </c>
    </row>
    <row r="280" spans="1:12" ht="15.75" x14ac:dyDescent="0.5">
      <c r="A280" s="287" t="s">
        <v>566</v>
      </c>
      <c r="B280" s="289">
        <v>0.1</v>
      </c>
    </row>
    <row r="281" spans="1:12" ht="15.75" x14ac:dyDescent="0.5">
      <c r="A281" s="287" t="s">
        <v>567</v>
      </c>
      <c r="B281" s="290">
        <v>4</v>
      </c>
    </row>
    <row r="282" spans="1:12" ht="15.75" x14ac:dyDescent="0.5">
      <c r="A282" s="287" t="s">
        <v>485</v>
      </c>
      <c r="B282" s="289">
        <v>0.12</v>
      </c>
    </row>
    <row r="283" spans="1:12" ht="15.75" x14ac:dyDescent="0.5">
      <c r="A283" s="287" t="s">
        <v>568</v>
      </c>
      <c r="B283" s="291" t="s">
        <v>569</v>
      </c>
    </row>
    <row r="285" spans="1:12" x14ac:dyDescent="0.45">
      <c r="A285" s="292">
        <v>9.1</v>
      </c>
    </row>
    <row r="286" spans="1:12" ht="15.75" x14ac:dyDescent="0.5">
      <c r="A286" s="293" t="s">
        <v>570</v>
      </c>
      <c r="D286" s="32" t="s">
        <v>571</v>
      </c>
    </row>
    <row r="288" spans="1:12" x14ac:dyDescent="0.45">
      <c r="A288" t="s">
        <v>572</v>
      </c>
    </row>
    <row r="289" spans="1:3" x14ac:dyDescent="0.45">
      <c r="A289" t="s">
        <v>573</v>
      </c>
    </row>
    <row r="290" spans="1:3" x14ac:dyDescent="0.45">
      <c r="A290" t="s">
        <v>574</v>
      </c>
    </row>
    <row r="291" spans="1:3" x14ac:dyDescent="0.45">
      <c r="A291" s="31" t="s">
        <v>131</v>
      </c>
      <c r="B291" s="31">
        <f>4/1</f>
        <v>4</v>
      </c>
    </row>
    <row r="292" spans="1:3" x14ac:dyDescent="0.45">
      <c r="A292" t="s">
        <v>575</v>
      </c>
    </row>
    <row r="293" spans="1:3" x14ac:dyDescent="0.45">
      <c r="A293" t="s">
        <v>576</v>
      </c>
    </row>
    <row r="294" spans="1:3" x14ac:dyDescent="0.45">
      <c r="A294" t="s">
        <v>577</v>
      </c>
    </row>
    <row r="295" spans="1:3" x14ac:dyDescent="0.45">
      <c r="A295" t="s">
        <v>578</v>
      </c>
    </row>
    <row r="296" spans="1:3" x14ac:dyDescent="0.45">
      <c r="A296" t="s">
        <v>579</v>
      </c>
      <c r="C296" s="17" t="s">
        <v>580</v>
      </c>
    </row>
    <row r="297" spans="1:3" x14ac:dyDescent="0.45">
      <c r="A297" t="s">
        <v>581</v>
      </c>
      <c r="C297" s="17" t="s">
        <v>582</v>
      </c>
    </row>
    <row r="298" spans="1:3" x14ac:dyDescent="0.45">
      <c r="A298" t="s">
        <v>583</v>
      </c>
    </row>
    <row r="299" spans="1:3" x14ac:dyDescent="0.45">
      <c r="A299" t="s">
        <v>584</v>
      </c>
    </row>
    <row r="300" spans="1:3" x14ac:dyDescent="0.45">
      <c r="A300" s="294">
        <f>40000/750000</f>
        <v>5.3333333333333337E-2</v>
      </c>
      <c r="B300" s="17" t="s">
        <v>585</v>
      </c>
    </row>
    <row r="302" spans="1:3" x14ac:dyDescent="0.45">
      <c r="A302" t="s">
        <v>586</v>
      </c>
      <c r="B302" t="s">
        <v>587</v>
      </c>
    </row>
    <row r="303" spans="1:3" x14ac:dyDescent="0.45">
      <c r="A303" t="s">
        <v>586</v>
      </c>
      <c r="B303" s="295">
        <f>((1/(1+3)*B282)+((3/(1+3))*A300*(1-B279)))</f>
        <v>0.06</v>
      </c>
    </row>
    <row r="305" spans="1:12" x14ac:dyDescent="0.45">
      <c r="A305" s="292">
        <v>9.1999999999999993</v>
      </c>
    </row>
    <row r="307" spans="1:12" x14ac:dyDescent="0.45">
      <c r="A307" s="462" t="s">
        <v>588</v>
      </c>
      <c r="B307" s="462"/>
      <c r="C307" s="462"/>
      <c r="D307" s="462"/>
      <c r="E307" s="462"/>
      <c r="F307" s="462"/>
      <c r="G307" s="462"/>
      <c r="H307" s="462"/>
    </row>
    <row r="308" spans="1:12" x14ac:dyDescent="0.45">
      <c r="A308" s="462"/>
      <c r="B308" s="462"/>
      <c r="C308" s="462"/>
      <c r="D308" s="462"/>
      <c r="E308" s="462"/>
      <c r="F308" s="462"/>
      <c r="G308" s="462"/>
      <c r="H308" s="462"/>
    </row>
    <row r="309" spans="1:12" x14ac:dyDescent="0.45">
      <c r="A309" s="462"/>
      <c r="B309" s="462"/>
      <c r="C309" s="462"/>
      <c r="D309" s="462"/>
      <c r="E309" s="462"/>
      <c r="F309" s="462"/>
      <c r="G309" s="462"/>
      <c r="H309" s="462"/>
    </row>
    <row r="311" spans="1:12" ht="14.55" customHeight="1" x14ac:dyDescent="0.45">
      <c r="A311" s="462" t="s">
        <v>589</v>
      </c>
      <c r="B311" s="462"/>
      <c r="C311" s="462"/>
      <c r="D311" s="462"/>
      <c r="E311" s="462"/>
      <c r="F311" s="462"/>
      <c r="G311" s="462"/>
      <c r="H311" s="462"/>
    </row>
    <row r="312" spans="1:12" x14ac:dyDescent="0.45">
      <c r="A312" s="462"/>
      <c r="B312" s="462"/>
      <c r="C312" s="462"/>
      <c r="D312" s="462"/>
      <c r="E312" s="462"/>
      <c r="F312" s="462"/>
      <c r="G312" s="462"/>
      <c r="H312" s="462"/>
    </row>
    <row r="313" spans="1:12" x14ac:dyDescent="0.45">
      <c r="A313" s="462"/>
      <c r="B313" s="462"/>
      <c r="C313" s="462"/>
      <c r="D313" s="462"/>
      <c r="E313" s="462"/>
      <c r="F313" s="462"/>
      <c r="G313" s="462"/>
      <c r="H313" s="462"/>
    </row>
    <row r="315" spans="1:12" x14ac:dyDescent="0.45">
      <c r="A315" s="34">
        <v>21</v>
      </c>
      <c r="B315" s="33"/>
      <c r="C315" s="33"/>
      <c r="D315" s="33"/>
      <c r="E315" s="33"/>
      <c r="F315" s="33"/>
      <c r="G315" s="33"/>
      <c r="H315" s="33"/>
      <c r="I315" s="33"/>
      <c r="J315" s="33"/>
      <c r="K315" s="33"/>
      <c r="L315" s="33"/>
    </row>
    <row r="317" spans="1:12" x14ac:dyDescent="0.45">
      <c r="A317" s="465" t="s">
        <v>794</v>
      </c>
      <c r="B317" s="465"/>
      <c r="C317" s="465"/>
      <c r="D317" s="465"/>
      <c r="E317" s="465"/>
      <c r="F317" s="465"/>
      <c r="G317" s="465"/>
      <c r="H317" s="465"/>
    </row>
    <row r="318" spans="1:12" x14ac:dyDescent="0.45">
      <c r="A318" s="465"/>
      <c r="B318" s="465"/>
      <c r="C318" s="465"/>
      <c r="D318" s="465"/>
      <c r="E318" s="465"/>
      <c r="F318" s="465"/>
      <c r="G318" s="465"/>
      <c r="H318" s="465"/>
    </row>
    <row r="319" spans="1:12" x14ac:dyDescent="0.45">
      <c r="A319" s="465"/>
      <c r="B319" s="465"/>
      <c r="C319" s="465"/>
      <c r="D319" s="465"/>
      <c r="E319" s="465"/>
      <c r="F319" s="465"/>
      <c r="G319" s="465"/>
      <c r="H319" s="465"/>
    </row>
    <row r="320" spans="1:12" x14ac:dyDescent="0.45">
      <c r="A320" s="465"/>
      <c r="B320" s="465"/>
      <c r="C320" s="465"/>
      <c r="D320" s="465"/>
      <c r="E320" s="465"/>
      <c r="F320" s="465"/>
      <c r="G320" s="465"/>
      <c r="H320" s="465"/>
    </row>
    <row r="321" spans="1:11" x14ac:dyDescent="0.45">
      <c r="A321" s="465"/>
      <c r="B321" s="465"/>
      <c r="C321" s="465"/>
      <c r="D321" s="465"/>
      <c r="E321" s="465"/>
      <c r="F321" s="465"/>
      <c r="G321" s="465"/>
      <c r="H321" s="465"/>
    </row>
    <row r="322" spans="1:11" x14ac:dyDescent="0.45">
      <c r="A322" s="465"/>
      <c r="B322" s="465"/>
      <c r="C322" s="465"/>
      <c r="D322" s="465"/>
      <c r="E322" s="465"/>
      <c r="F322" s="465"/>
      <c r="G322" s="465"/>
      <c r="H322" s="465"/>
    </row>
    <row r="324" spans="1:11" s="33" customFormat="1" x14ac:dyDescent="0.45">
      <c r="A324" s="329">
        <v>22</v>
      </c>
      <c r="B324" s="329"/>
    </row>
    <row r="326" spans="1:11" x14ac:dyDescent="0.45">
      <c r="A326" t="s">
        <v>795</v>
      </c>
    </row>
    <row r="327" spans="1:11" x14ac:dyDescent="0.45">
      <c r="A327" s="463" t="s">
        <v>796</v>
      </c>
      <c r="B327" s="463"/>
      <c r="C327" s="463"/>
      <c r="D327" s="463"/>
      <c r="E327" s="463"/>
      <c r="F327" s="463"/>
      <c r="G327" s="463"/>
      <c r="H327" s="463"/>
      <c r="I327" s="463"/>
      <c r="J327" s="463"/>
    </row>
    <row r="328" spans="1:11" x14ac:dyDescent="0.45">
      <c r="A328" s="463"/>
      <c r="B328" s="463"/>
      <c r="C328" s="463"/>
      <c r="D328" s="463"/>
      <c r="E328" s="463"/>
      <c r="F328" s="463"/>
      <c r="G328" s="463"/>
      <c r="H328" s="463"/>
      <c r="I328" s="463"/>
      <c r="J328" s="463"/>
    </row>
    <row r="329" spans="1:11" x14ac:dyDescent="0.45">
      <c r="A329" s="463"/>
      <c r="B329" s="463"/>
      <c r="C329" s="463"/>
      <c r="D329" s="463"/>
      <c r="E329" s="463"/>
      <c r="F329" s="463"/>
      <c r="G329" s="463"/>
      <c r="H329" s="463"/>
      <c r="I329" s="463"/>
      <c r="J329" s="463"/>
    </row>
    <row r="330" spans="1:11" x14ac:dyDescent="0.45">
      <c r="A330" s="462" t="s">
        <v>797</v>
      </c>
      <c r="B330" s="462"/>
      <c r="C330" s="462"/>
      <c r="D330" s="462"/>
      <c r="E330" s="462"/>
      <c r="F330" s="462"/>
      <c r="G330" s="462"/>
      <c r="H330" s="462"/>
      <c r="I330" s="462"/>
      <c r="J330" s="462"/>
      <c r="K330" s="462"/>
    </row>
    <row r="331" spans="1:11" x14ac:dyDescent="0.45">
      <c r="A331" s="462"/>
      <c r="B331" s="462"/>
      <c r="C331" s="462"/>
      <c r="D331" s="462"/>
      <c r="E331" s="462"/>
      <c r="F331" s="462"/>
      <c r="G331" s="462"/>
      <c r="H331" s="462"/>
      <c r="I331" s="462"/>
      <c r="J331" s="462"/>
      <c r="K331" s="462"/>
    </row>
    <row r="332" spans="1:11" x14ac:dyDescent="0.45">
      <c r="A332" t="s">
        <v>798</v>
      </c>
    </row>
    <row r="333" spans="1:11" x14ac:dyDescent="0.45">
      <c r="A333" t="s">
        <v>799</v>
      </c>
    </row>
    <row r="334" spans="1:11" x14ac:dyDescent="0.45">
      <c r="A334" t="s">
        <v>800</v>
      </c>
    </row>
    <row r="335" spans="1:11" x14ac:dyDescent="0.45">
      <c r="A335" s="463" t="s">
        <v>801</v>
      </c>
      <c r="B335" s="463"/>
      <c r="C335" s="463"/>
      <c r="D335" s="463"/>
      <c r="E335" s="463"/>
      <c r="F335" s="463"/>
      <c r="G335" s="463"/>
      <c r="H335" s="463"/>
      <c r="I335" s="463"/>
      <c r="J335" s="463"/>
      <c r="K335" s="463"/>
    </row>
    <row r="336" spans="1:11" x14ac:dyDescent="0.45">
      <c r="A336" s="463"/>
      <c r="B336" s="463"/>
      <c r="C336" s="463"/>
      <c r="D336" s="463"/>
      <c r="E336" s="463"/>
      <c r="F336" s="463"/>
      <c r="G336" s="463"/>
      <c r="H336" s="463"/>
      <c r="I336" s="463"/>
      <c r="J336" s="463"/>
      <c r="K336" s="463"/>
    </row>
    <row r="337" spans="1:11" x14ac:dyDescent="0.45">
      <c r="A337" s="463"/>
      <c r="B337" s="463"/>
      <c r="C337" s="463"/>
      <c r="D337" s="463"/>
      <c r="E337" s="463"/>
      <c r="F337" s="463"/>
      <c r="G337" s="463"/>
      <c r="H337" s="463"/>
      <c r="I337" s="463"/>
      <c r="J337" s="463"/>
      <c r="K337" s="463"/>
    </row>
    <row r="339" spans="1:11" s="33" customFormat="1" x14ac:dyDescent="0.45">
      <c r="A339" s="329">
        <v>23</v>
      </c>
      <c r="B339" s="329"/>
    </row>
    <row r="340" spans="1:11" ht="14.65" thickBot="1" x14ac:dyDescent="0.5"/>
    <row r="341" spans="1:11" ht="18.399999999999999" thickBot="1" x14ac:dyDescent="0.6">
      <c r="A341" s="420" t="s">
        <v>906</v>
      </c>
      <c r="B341" s="421" t="s">
        <v>385</v>
      </c>
      <c r="C341" s="422" t="s">
        <v>386</v>
      </c>
      <c r="D341" s="423" t="s">
        <v>388</v>
      </c>
    </row>
    <row r="342" spans="1:11" ht="18" x14ac:dyDescent="0.55000000000000004">
      <c r="A342" s="424" t="s">
        <v>677</v>
      </c>
      <c r="B342" s="425">
        <v>0.18</v>
      </c>
      <c r="C342" s="426">
        <v>0.13</v>
      </c>
      <c r="D342" s="427" t="s">
        <v>907</v>
      </c>
    </row>
    <row r="343" spans="1:11" ht="18" x14ac:dyDescent="0.55000000000000004">
      <c r="A343" s="428" t="s">
        <v>908</v>
      </c>
      <c r="B343" s="429">
        <v>90000</v>
      </c>
      <c r="C343" s="430">
        <v>100000</v>
      </c>
      <c r="D343" s="431">
        <v>105000</v>
      </c>
    </row>
    <row r="344" spans="1:11" ht="18" x14ac:dyDescent="0.55000000000000004">
      <c r="A344" s="428" t="s">
        <v>909</v>
      </c>
      <c r="B344" s="432">
        <v>3</v>
      </c>
      <c r="C344" s="433">
        <v>3.5</v>
      </c>
      <c r="D344" s="427" t="s">
        <v>907</v>
      </c>
    </row>
    <row r="345" spans="1:11" ht="18" x14ac:dyDescent="0.55000000000000004">
      <c r="A345" s="428" t="s">
        <v>381</v>
      </c>
      <c r="B345" s="434" t="s">
        <v>907</v>
      </c>
      <c r="C345" s="435">
        <v>0.1</v>
      </c>
      <c r="D345" s="436">
        <v>0.16</v>
      </c>
    </row>
    <row r="346" spans="1:11" ht="18.399999999999999" thickBot="1" x14ac:dyDescent="0.6">
      <c r="A346" s="437" t="s">
        <v>910</v>
      </c>
      <c r="B346" s="438">
        <v>1500000</v>
      </c>
      <c r="C346" s="439">
        <v>2100000</v>
      </c>
      <c r="D346" s="440">
        <v>2200000</v>
      </c>
    </row>
    <row r="348" spans="1:11" x14ac:dyDescent="0.45">
      <c r="A348" s="464" t="s">
        <v>911</v>
      </c>
      <c r="B348" s="464"/>
      <c r="C348" s="464"/>
      <c r="D348" s="464"/>
      <c r="E348" s="464"/>
      <c r="F348" s="464"/>
      <c r="G348" s="464"/>
    </row>
    <row r="349" spans="1:11" x14ac:dyDescent="0.45">
      <c r="A349" s="464"/>
      <c r="B349" s="464"/>
      <c r="C349" s="464"/>
      <c r="D349" s="464"/>
      <c r="E349" s="464"/>
      <c r="F349" s="464"/>
      <c r="G349" s="464"/>
    </row>
    <row r="350" spans="1:11" x14ac:dyDescent="0.45">
      <c r="A350" s="464"/>
      <c r="B350" s="464"/>
      <c r="C350" s="464"/>
      <c r="D350" s="464"/>
      <c r="E350" s="464"/>
      <c r="F350" s="464"/>
      <c r="G350" s="464"/>
    </row>
    <row r="351" spans="1:11" x14ac:dyDescent="0.45">
      <c r="A351" s="464"/>
      <c r="B351" s="464"/>
      <c r="C351" s="464"/>
      <c r="D351" s="464"/>
      <c r="E351" s="464"/>
      <c r="F351" s="464"/>
      <c r="G351" s="464"/>
    </row>
    <row r="352" spans="1:11" x14ac:dyDescent="0.45">
      <c r="A352" s="464"/>
      <c r="B352" s="464"/>
      <c r="C352" s="464"/>
      <c r="D352" s="464"/>
      <c r="E352" s="464"/>
      <c r="F352" s="464"/>
      <c r="G352" s="464"/>
    </row>
    <row r="353" spans="1:7" x14ac:dyDescent="0.45">
      <c r="A353" s="464"/>
      <c r="B353" s="464"/>
      <c r="C353" s="464"/>
      <c r="D353" s="464"/>
      <c r="E353" s="464"/>
      <c r="F353" s="464"/>
      <c r="G353" s="464"/>
    </row>
    <row r="354" spans="1:7" x14ac:dyDescent="0.45">
      <c r="A354" s="464"/>
      <c r="B354" s="464"/>
      <c r="C354" s="464"/>
      <c r="D354" s="464"/>
      <c r="E354" s="464"/>
      <c r="F354" s="464"/>
      <c r="G354" s="464"/>
    </row>
    <row r="356" spans="1:7" s="33" customFormat="1" x14ac:dyDescent="0.45">
      <c r="A356" s="329">
        <v>24</v>
      </c>
      <c r="B356" s="329"/>
    </row>
    <row r="358" spans="1:7" x14ac:dyDescent="0.45">
      <c r="A358" s="465" t="s">
        <v>1067</v>
      </c>
      <c r="B358" s="465"/>
      <c r="C358" s="465"/>
      <c r="D358" s="465"/>
      <c r="E358" s="465"/>
    </row>
    <row r="359" spans="1:7" x14ac:dyDescent="0.45">
      <c r="A359" s="465"/>
      <c r="B359" s="465"/>
      <c r="C359" s="465"/>
      <c r="D359" s="465"/>
      <c r="E359" s="465"/>
    </row>
    <row r="360" spans="1:7" x14ac:dyDescent="0.45">
      <c r="A360" s="465"/>
      <c r="B360" s="465"/>
      <c r="C360" s="465"/>
      <c r="D360" s="465"/>
      <c r="E360" s="465"/>
    </row>
    <row r="361" spans="1:7" x14ac:dyDescent="0.45">
      <c r="A361" s="465"/>
      <c r="B361" s="465"/>
      <c r="C361" s="465"/>
      <c r="D361" s="465"/>
      <c r="E361" s="465"/>
    </row>
    <row r="362" spans="1:7" x14ac:dyDescent="0.45">
      <c r="A362" s="465"/>
      <c r="B362" s="465"/>
      <c r="C362" s="465"/>
      <c r="D362" s="465"/>
      <c r="E362" s="465"/>
    </row>
    <row r="364" spans="1:7" x14ac:dyDescent="0.45">
      <c r="A364" s="465" t="s">
        <v>1068</v>
      </c>
      <c r="B364" s="465"/>
      <c r="C364" s="465"/>
      <c r="D364" s="465"/>
      <c r="E364" s="465"/>
    </row>
    <row r="365" spans="1:7" x14ac:dyDescent="0.45">
      <c r="A365" s="465"/>
      <c r="B365" s="465"/>
      <c r="C365" s="465"/>
      <c r="D365" s="465"/>
      <c r="E365" s="465"/>
    </row>
    <row r="366" spans="1:7" x14ac:dyDescent="0.45">
      <c r="A366" s="465"/>
      <c r="B366" s="465"/>
      <c r="C366" s="465"/>
      <c r="D366" s="465"/>
      <c r="E366" s="465"/>
    </row>
    <row r="367" spans="1:7" x14ac:dyDescent="0.45">
      <c r="A367" s="465"/>
      <c r="B367" s="465"/>
      <c r="C367" s="465"/>
      <c r="D367" s="465"/>
      <c r="E367" s="465"/>
    </row>
    <row r="368" spans="1:7" x14ac:dyDescent="0.45">
      <c r="A368" s="465"/>
      <c r="B368" s="465"/>
      <c r="C368" s="465"/>
      <c r="D368" s="465"/>
      <c r="E368" s="465"/>
    </row>
    <row r="370" spans="1:3" s="33" customFormat="1" x14ac:dyDescent="0.45">
      <c r="A370" s="329">
        <v>25</v>
      </c>
      <c r="B370" s="329"/>
    </row>
    <row r="372" spans="1:3" x14ac:dyDescent="0.45">
      <c r="A372" s="442" t="s">
        <v>170</v>
      </c>
    </row>
    <row r="373" spans="1:3" x14ac:dyDescent="0.45">
      <c r="A373" t="s">
        <v>1134</v>
      </c>
      <c r="B373">
        <v>95000</v>
      </c>
    </row>
    <row r="374" spans="1:3" x14ac:dyDescent="0.45">
      <c r="A374" t="s">
        <v>1135</v>
      </c>
      <c r="B374">
        <f>5*4</f>
        <v>20</v>
      </c>
    </row>
    <row r="375" spans="1:3" x14ac:dyDescent="0.45">
      <c r="A375" t="s">
        <v>1136</v>
      </c>
      <c r="B375" s="5">
        <f>5%/4</f>
        <v>1.2500000000000001E-2</v>
      </c>
    </row>
    <row r="376" spans="1:3" x14ac:dyDescent="0.45">
      <c r="A376" t="s">
        <v>1137</v>
      </c>
      <c r="B376" s="207">
        <f>B373*(1+B375)^B374</f>
        <v>121793.53701231559</v>
      </c>
    </row>
    <row r="378" spans="1:3" x14ac:dyDescent="0.45">
      <c r="A378" s="442" t="s">
        <v>94</v>
      </c>
    </row>
    <row r="379" spans="1:3" x14ac:dyDescent="0.45">
      <c r="A379" t="s">
        <v>1134</v>
      </c>
      <c r="B379">
        <v>95000</v>
      </c>
    </row>
    <row r="380" spans="1:3" x14ac:dyDescent="0.45">
      <c r="A380" t="s">
        <v>1135</v>
      </c>
      <c r="B380">
        <f>6*5</f>
        <v>30</v>
      </c>
    </row>
    <row r="381" spans="1:3" x14ac:dyDescent="0.45">
      <c r="A381" t="s">
        <v>1136</v>
      </c>
      <c r="B381" s="5">
        <f>5%/4</f>
        <v>1.2500000000000001E-2</v>
      </c>
    </row>
    <row r="382" spans="1:3" x14ac:dyDescent="0.45">
      <c r="A382" t="s">
        <v>1137</v>
      </c>
      <c r="B382" s="207">
        <f>B379*(1+B381)^B380</f>
        <v>137903.269200679</v>
      </c>
      <c r="C382" t="s">
        <v>1138</v>
      </c>
    </row>
    <row r="384" spans="1:3" s="33" customFormat="1" x14ac:dyDescent="0.45">
      <c r="A384" s="329">
        <v>26</v>
      </c>
      <c r="B384" s="329"/>
    </row>
    <row r="386" spans="1:5" x14ac:dyDescent="0.45">
      <c r="A386" s="462" t="s">
        <v>1139</v>
      </c>
      <c r="B386" s="462"/>
      <c r="C386" s="462"/>
      <c r="D386" s="462"/>
      <c r="E386" s="462"/>
    </row>
    <row r="387" spans="1:5" x14ac:dyDescent="0.45">
      <c r="A387" s="462"/>
      <c r="B387" s="462"/>
      <c r="C387" s="462"/>
      <c r="D387" s="462"/>
      <c r="E387" s="462"/>
    </row>
    <row r="388" spans="1:5" x14ac:dyDescent="0.45">
      <c r="A388" s="462"/>
      <c r="B388" s="462"/>
      <c r="C388" s="462"/>
      <c r="D388" s="462"/>
      <c r="E388" s="462"/>
    </row>
    <row r="389" spans="1:5" x14ac:dyDescent="0.45">
      <c r="A389" s="462"/>
      <c r="B389" s="462"/>
      <c r="C389" s="462"/>
      <c r="D389" s="462"/>
      <c r="E389" s="462"/>
    </row>
    <row r="391" spans="1:5" s="33" customFormat="1" x14ac:dyDescent="0.45">
      <c r="A391" s="329">
        <v>27</v>
      </c>
      <c r="B391" s="329"/>
    </row>
    <row r="393" spans="1:5" x14ac:dyDescent="0.45">
      <c r="A393" t="s">
        <v>1140</v>
      </c>
    </row>
    <row r="395" spans="1:5" x14ac:dyDescent="0.45">
      <c r="A395" t="s">
        <v>1141</v>
      </c>
    </row>
    <row r="397" spans="1:5" x14ac:dyDescent="0.45">
      <c r="A397" t="s">
        <v>1142</v>
      </c>
    </row>
  </sheetData>
  <mergeCells count="23">
    <mergeCell ref="A386:E389"/>
    <mergeCell ref="B193:I194"/>
    <mergeCell ref="A317:H322"/>
    <mergeCell ref="A330:K331"/>
    <mergeCell ref="A327:J329"/>
    <mergeCell ref="A335:K337"/>
    <mergeCell ref="A266:B266"/>
    <mergeCell ref="A307:H309"/>
    <mergeCell ref="A311:H313"/>
    <mergeCell ref="A226:L226"/>
    <mergeCell ref="A227:I229"/>
    <mergeCell ref="A364:E368"/>
    <mergeCell ref="A246:J249"/>
    <mergeCell ref="A263:B263"/>
    <mergeCell ref="A264:B264"/>
    <mergeCell ref="A265:B265"/>
    <mergeCell ref="A358:E362"/>
    <mergeCell ref="A348:G354"/>
    <mergeCell ref="B11:H12"/>
    <mergeCell ref="I15:M21"/>
    <mergeCell ref="A34:L36"/>
    <mergeCell ref="A37:L39"/>
    <mergeCell ref="A130:L135"/>
  </mergeCells>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499"/>
  <sheetViews>
    <sheetView topLeftCell="A476" zoomScaleNormal="100" workbookViewId="0">
      <selection activeCell="A494" sqref="A494"/>
    </sheetView>
  </sheetViews>
  <sheetFormatPr defaultRowHeight="14.25" x14ac:dyDescent="0.45"/>
  <cols>
    <col min="1" max="1" width="25.06640625" customWidth="1"/>
    <col min="2" max="2" width="17.53125" customWidth="1"/>
    <col min="3" max="3" width="21.53125" bestFit="1" customWidth="1"/>
    <col min="4" max="4" width="14.19921875" bestFit="1" customWidth="1"/>
    <col min="5" max="5" width="12.33203125" bestFit="1" customWidth="1"/>
    <col min="6" max="6" width="35.9296875" bestFit="1" customWidth="1"/>
    <col min="7" max="7" width="24" bestFit="1" customWidth="1"/>
    <col min="8" max="8" width="16.46484375" customWidth="1"/>
    <col min="9" max="9" width="13.53125" bestFit="1" customWidth="1"/>
    <col min="10" max="10" width="19.796875" customWidth="1"/>
  </cols>
  <sheetData>
    <row r="1" spans="1:7" s="33" customFormat="1" x14ac:dyDescent="0.45">
      <c r="A1" s="34">
        <v>1</v>
      </c>
    </row>
    <row r="2" spans="1:7" x14ac:dyDescent="0.45">
      <c r="A2" t="s">
        <v>590</v>
      </c>
    </row>
    <row r="4" spans="1:7" x14ac:dyDescent="0.45">
      <c r="A4" t="s">
        <v>591</v>
      </c>
    </row>
    <row r="6" spans="1:7" x14ac:dyDescent="0.45">
      <c r="A6" t="s">
        <v>592</v>
      </c>
    </row>
    <row r="8" spans="1:7" x14ac:dyDescent="0.45">
      <c r="A8" t="s">
        <v>593</v>
      </c>
    </row>
    <row r="10" spans="1:7" x14ac:dyDescent="0.45">
      <c r="A10" t="s">
        <v>594</v>
      </c>
    </row>
    <row r="11" spans="1:7" s="33" customFormat="1" x14ac:dyDescent="0.45">
      <c r="A11" s="34">
        <v>2</v>
      </c>
    </row>
    <row r="13" spans="1:7" x14ac:dyDescent="0.45">
      <c r="A13" s="1"/>
      <c r="B13" s="208">
        <v>1</v>
      </c>
      <c r="C13" s="208">
        <v>2</v>
      </c>
      <c r="D13" s="208">
        <v>3</v>
      </c>
      <c r="E13" s="1"/>
      <c r="F13" s="1" t="s">
        <v>410</v>
      </c>
      <c r="G13" s="1">
        <v>480000</v>
      </c>
    </row>
    <row r="14" spans="1:7" x14ac:dyDescent="0.45">
      <c r="A14" s="1" t="s">
        <v>595</v>
      </c>
      <c r="B14" s="1">
        <v>450000</v>
      </c>
      <c r="C14" s="1">
        <f>B14*1.12</f>
        <v>504000.00000000006</v>
      </c>
      <c r="D14" s="1">
        <f>C14*1.12</f>
        <v>564480.00000000012</v>
      </c>
      <c r="E14" s="1"/>
      <c r="F14" s="1" t="s">
        <v>596</v>
      </c>
      <c r="G14" s="1">
        <v>0</v>
      </c>
    </row>
    <row r="15" spans="1:7" x14ac:dyDescent="0.45">
      <c r="A15" s="1" t="s">
        <v>92</v>
      </c>
      <c r="B15" s="1">
        <f>B14*0.24</f>
        <v>108000</v>
      </c>
      <c r="C15" s="1">
        <f>C14*0.24</f>
        <v>120960.00000000001</v>
      </c>
      <c r="D15" s="1">
        <f>D14*0.24</f>
        <v>135475.20000000001</v>
      </c>
      <c r="E15" s="1"/>
      <c r="F15" s="1" t="s">
        <v>288</v>
      </c>
      <c r="G15" s="1">
        <f>G13/3</f>
        <v>160000</v>
      </c>
    </row>
    <row r="16" spans="1:7" x14ac:dyDescent="0.45">
      <c r="A16" s="1" t="s">
        <v>86</v>
      </c>
      <c r="B16" s="1">
        <f>30000</f>
        <v>30000</v>
      </c>
      <c r="C16" s="1">
        <v>30000</v>
      </c>
      <c r="D16" s="1">
        <v>30000</v>
      </c>
      <c r="E16" s="1"/>
      <c r="F16" s="1"/>
      <c r="G16" s="1"/>
    </row>
    <row r="17" spans="1:7" x14ac:dyDescent="0.45">
      <c r="A17" s="1" t="s">
        <v>407</v>
      </c>
      <c r="B17" s="1">
        <f>B14-B15-B16</f>
        <v>312000</v>
      </c>
      <c r="C17" s="1">
        <f>C14-C15-C16</f>
        <v>353040.00000000006</v>
      </c>
      <c r="D17" s="1">
        <f>D14-D15-D16</f>
        <v>399004.8000000001</v>
      </c>
      <c r="E17" s="1"/>
      <c r="F17" s="1"/>
      <c r="G17" s="1"/>
    </row>
    <row r="18" spans="1:7" x14ac:dyDescent="0.45">
      <c r="A18" s="1" t="s">
        <v>597</v>
      </c>
      <c r="B18" s="1">
        <f>$G$15</f>
        <v>160000</v>
      </c>
      <c r="C18" s="1">
        <f>$G$15</f>
        <v>160000</v>
      </c>
      <c r="D18" s="1">
        <f>$G$15</f>
        <v>160000</v>
      </c>
      <c r="E18" s="1"/>
      <c r="F18" s="1"/>
      <c r="G18" s="1"/>
    </row>
    <row r="19" spans="1:7" x14ac:dyDescent="0.45">
      <c r="A19" s="1" t="s">
        <v>413</v>
      </c>
      <c r="B19" s="1">
        <f>B17-B18</f>
        <v>152000</v>
      </c>
      <c r="C19" s="1">
        <f>C17-C18</f>
        <v>193040.00000000006</v>
      </c>
      <c r="D19" s="1">
        <f>D17-D18</f>
        <v>239004.8000000001</v>
      </c>
      <c r="E19" s="1"/>
      <c r="F19" s="1"/>
      <c r="G19" s="1"/>
    </row>
    <row r="20" spans="1:7" x14ac:dyDescent="0.45">
      <c r="A20" s="1" t="s">
        <v>307</v>
      </c>
      <c r="B20" s="1">
        <v>0</v>
      </c>
      <c r="C20" s="1">
        <v>0</v>
      </c>
      <c r="D20" s="1">
        <v>0</v>
      </c>
      <c r="E20" s="1"/>
      <c r="F20" s="1"/>
      <c r="G20" s="1"/>
    </row>
    <row r="21" spans="1:7" x14ac:dyDescent="0.45">
      <c r="A21" s="1" t="s">
        <v>415</v>
      </c>
      <c r="B21" s="1">
        <f>B19</f>
        <v>152000</v>
      </c>
      <c r="C21" s="1">
        <f>C19</f>
        <v>193040.00000000006</v>
      </c>
      <c r="D21" s="1">
        <f>D19</f>
        <v>239004.8000000001</v>
      </c>
      <c r="E21" s="1"/>
      <c r="F21" s="1"/>
      <c r="G21" s="1"/>
    </row>
    <row r="22" spans="1:7" x14ac:dyDescent="0.45">
      <c r="A22" s="1" t="s">
        <v>565</v>
      </c>
      <c r="B22" s="1">
        <f>B21*0.2</f>
        <v>30400</v>
      </c>
      <c r="C22" s="1">
        <f>C21*0.2</f>
        <v>38608.000000000015</v>
      </c>
      <c r="D22" s="1">
        <f>D21*0.2</f>
        <v>47800.960000000021</v>
      </c>
      <c r="E22" s="1"/>
      <c r="F22" s="1"/>
      <c r="G22" s="1"/>
    </row>
    <row r="23" spans="1:7" x14ac:dyDescent="0.45">
      <c r="A23" s="1" t="s">
        <v>598</v>
      </c>
      <c r="B23" s="1">
        <f>B21-B22</f>
        <v>121600</v>
      </c>
      <c r="C23" s="1">
        <f>C21-C22</f>
        <v>154432.00000000006</v>
      </c>
      <c r="D23" s="1">
        <f>D21-D22</f>
        <v>191203.84000000008</v>
      </c>
      <c r="E23" s="1"/>
      <c r="F23" s="1"/>
      <c r="G23" s="1"/>
    </row>
    <row r="24" spans="1:7" x14ac:dyDescent="0.45">
      <c r="A24" s="1" t="s">
        <v>599</v>
      </c>
      <c r="B24" s="1">
        <f>$G$15</f>
        <v>160000</v>
      </c>
      <c r="C24" s="1">
        <f>$G$15</f>
        <v>160000</v>
      </c>
      <c r="D24" s="1">
        <f>$G$15</f>
        <v>160000</v>
      </c>
      <c r="E24" s="1"/>
      <c r="F24" s="1"/>
      <c r="G24" s="1"/>
    </row>
    <row r="25" spans="1:7" x14ac:dyDescent="0.45">
      <c r="A25" s="1" t="s">
        <v>391</v>
      </c>
      <c r="B25" s="1">
        <f>B23+B24</f>
        <v>281600</v>
      </c>
      <c r="C25" s="1">
        <f>C23+C24</f>
        <v>314432.00000000006</v>
      </c>
      <c r="D25" s="1">
        <f>D23+D24</f>
        <v>351203.84000000008</v>
      </c>
      <c r="E25" s="1"/>
      <c r="F25" s="1"/>
      <c r="G25" s="1"/>
    </row>
    <row r="26" spans="1:7" x14ac:dyDescent="0.45">
      <c r="A26" s="1" t="s">
        <v>600</v>
      </c>
      <c r="B26" s="1"/>
      <c r="C26" s="1"/>
      <c r="D26" s="1">
        <f>D25*(1+2%)/(8%-2%)</f>
        <v>5970465.2800000012</v>
      </c>
      <c r="E26" s="1"/>
      <c r="F26" s="1"/>
      <c r="G26" s="1"/>
    </row>
    <row r="27" spans="1:7" x14ac:dyDescent="0.45">
      <c r="A27" s="1" t="s">
        <v>601</v>
      </c>
      <c r="B27" s="1">
        <f>B25/(1+8%)^B13</f>
        <v>260740.74074074073</v>
      </c>
      <c r="C27" s="1">
        <f>C25/(1+8%)^C13</f>
        <v>269574.75994513032</v>
      </c>
      <c r="D27" s="1">
        <f>(D25+D26)/(1+8%)^D13</f>
        <v>5018344.7645176044</v>
      </c>
      <c r="E27" s="1" t="s">
        <v>602</v>
      </c>
      <c r="F27" s="1">
        <f>SUM(B27:D27)</f>
        <v>5548660.265203476</v>
      </c>
      <c r="G27" s="1"/>
    </row>
    <row r="28" spans="1:7" x14ac:dyDescent="0.45">
      <c r="A28" s="1"/>
      <c r="B28" s="1"/>
      <c r="C28" s="1"/>
      <c r="D28" s="1"/>
      <c r="E28" s="1"/>
      <c r="F28" s="1"/>
      <c r="G28" s="1"/>
    </row>
    <row r="29" spans="1:7" x14ac:dyDescent="0.45">
      <c r="A29" s="296" t="s">
        <v>470</v>
      </c>
      <c r="B29" s="296">
        <f>F27-G13</f>
        <v>5068660.265203476</v>
      </c>
      <c r="C29" s="1"/>
      <c r="D29" s="1"/>
      <c r="E29" s="1"/>
      <c r="F29" s="1"/>
      <c r="G29" s="1"/>
    </row>
    <row r="30" spans="1:7" x14ac:dyDescent="0.45">
      <c r="A30" s="296" t="s">
        <v>471</v>
      </c>
      <c r="B30" s="296">
        <f>F27/G13</f>
        <v>11.559708885840575</v>
      </c>
      <c r="C30" s="1"/>
      <c r="D30" s="1"/>
      <c r="E30" s="1"/>
      <c r="F30" s="1"/>
      <c r="G30" s="1"/>
    </row>
    <row r="32" spans="1:7" s="33" customFormat="1" x14ac:dyDescent="0.45">
      <c r="A32" s="34">
        <v>3</v>
      </c>
    </row>
    <row r="33" spans="1:7" ht="15.75" x14ac:dyDescent="0.5">
      <c r="A33" s="297"/>
      <c r="B33" s="517" t="s">
        <v>392</v>
      </c>
      <c r="C33" s="518"/>
      <c r="D33" s="518"/>
      <c r="E33" s="519"/>
      <c r="F33" s="298"/>
    </row>
    <row r="34" spans="1:7" ht="15.75" x14ac:dyDescent="0.5">
      <c r="A34" s="297"/>
      <c r="B34" s="299">
        <v>0</v>
      </c>
      <c r="C34" s="299">
        <v>1</v>
      </c>
      <c r="D34" s="299">
        <v>2</v>
      </c>
      <c r="E34" s="299">
        <v>3</v>
      </c>
      <c r="F34" s="298"/>
    </row>
    <row r="35" spans="1:7" ht="15.75" x14ac:dyDescent="0.5">
      <c r="A35" s="300" t="s">
        <v>603</v>
      </c>
      <c r="B35" s="301">
        <v>-2000</v>
      </c>
      <c r="C35" s="301">
        <v>300</v>
      </c>
      <c r="D35" s="301">
        <v>200</v>
      </c>
      <c r="E35" s="301">
        <v>2000</v>
      </c>
      <c r="F35" s="298" t="s">
        <v>470</v>
      </c>
    </row>
    <row r="36" spans="1:7" ht="15.75" x14ac:dyDescent="0.5">
      <c r="A36" s="302">
        <v>0.1</v>
      </c>
      <c r="B36" s="301">
        <v>-2000</v>
      </c>
      <c r="C36" s="298">
        <f>C35/(1+$A$36)^$C$34</f>
        <v>272.72727272727269</v>
      </c>
      <c r="D36" s="298">
        <f>D35/(1+$A$36)^D34</f>
        <v>165.28925619834709</v>
      </c>
      <c r="E36" s="298">
        <f>E35/(1+$A$36)^E34</f>
        <v>1502.6296018031551</v>
      </c>
      <c r="F36" s="298">
        <f>SUM(B36:E36)</f>
        <v>-59.353869271224994</v>
      </c>
    </row>
    <row r="37" spans="1:7" s="17" customFormat="1" ht="15.75" x14ac:dyDescent="0.5">
      <c r="A37" s="303">
        <v>8.7499999999999994E-2</v>
      </c>
      <c r="B37" s="304">
        <v>-2000</v>
      </c>
      <c r="C37" s="305">
        <f>C35/(1+$A$37)^C34</f>
        <v>275.86206896551727</v>
      </c>
      <c r="D37" s="305">
        <f>D35/(1+$A$37)^D34</f>
        <v>169.1108468754129</v>
      </c>
      <c r="E37" s="305">
        <f>E35/(1+$A$37)^E34</f>
        <v>1555.0422701187395</v>
      </c>
      <c r="F37" s="305">
        <f>SUM(B37:E37)</f>
        <v>1.5185959669452131E-2</v>
      </c>
      <c r="G37" s="17" t="s">
        <v>604</v>
      </c>
    </row>
    <row r="38" spans="1:7" ht="15.75" x14ac:dyDescent="0.5">
      <c r="A38" s="302">
        <v>0.06</v>
      </c>
      <c r="B38" s="301">
        <v>-2000</v>
      </c>
      <c r="C38" s="298">
        <f>C35/(1+$A$38)^C34</f>
        <v>283.01886792452831</v>
      </c>
      <c r="D38" s="298">
        <f>D35/(1+$A$38)^D34</f>
        <v>177.99928800284798</v>
      </c>
      <c r="E38" s="298">
        <f>E35/(1+$A$38)^E34</f>
        <v>1679.2385660646032</v>
      </c>
      <c r="F38" s="298">
        <f>SUM(B38:E38)</f>
        <v>140.2567219919797</v>
      </c>
    </row>
    <row r="39" spans="1:7" ht="15.75" x14ac:dyDescent="0.5">
      <c r="A39" s="302">
        <v>0.02</v>
      </c>
      <c r="B39" s="301">
        <v>-2000</v>
      </c>
      <c r="C39" s="298">
        <f>C35/(1+$A$39)^C34</f>
        <v>294.11764705882354</v>
      </c>
      <c r="D39" s="298">
        <f>D35/(1+$A$39)^D34</f>
        <v>192.23375624759709</v>
      </c>
      <c r="E39" s="298">
        <f>E35/(1+$A$39)^E34</f>
        <v>1884.6446690940891</v>
      </c>
      <c r="F39" s="298">
        <f>SUM(B39:E39)</f>
        <v>370.99607240050955</v>
      </c>
    </row>
    <row r="40" spans="1:7" ht="15.75" x14ac:dyDescent="0.5">
      <c r="A40" s="302">
        <v>1.4999999999999999E-2</v>
      </c>
      <c r="B40" s="301">
        <v>-2000</v>
      </c>
      <c r="C40" s="298">
        <f>C35/(1+A40)^C34</f>
        <v>295.56650246305423</v>
      </c>
      <c r="D40" s="298">
        <f>D35/(1+A40)^D34</f>
        <v>194.13234972942809</v>
      </c>
      <c r="E40" s="298">
        <f>E35/(1+A40)^E34</f>
        <v>1912.6339874820503</v>
      </c>
      <c r="F40" s="298">
        <f>SUM(B40:E40)</f>
        <v>402.33283967453281</v>
      </c>
    </row>
    <row r="42" spans="1:7" s="33" customFormat="1" x14ac:dyDescent="0.45">
      <c r="A42" s="34">
        <v>4</v>
      </c>
    </row>
    <row r="44" spans="1:7" x14ac:dyDescent="0.45">
      <c r="A44" t="s">
        <v>605</v>
      </c>
    </row>
    <row r="45" spans="1:7" x14ac:dyDescent="0.45">
      <c r="A45" t="s">
        <v>606</v>
      </c>
    </row>
    <row r="46" spans="1:7" x14ac:dyDescent="0.45">
      <c r="A46" t="s">
        <v>607</v>
      </c>
    </row>
    <row r="48" spans="1:7" x14ac:dyDescent="0.45">
      <c r="A48" t="s">
        <v>608</v>
      </c>
    </row>
    <row r="49" spans="1:10" x14ac:dyDescent="0.45">
      <c r="A49" t="s">
        <v>609</v>
      </c>
    </row>
    <row r="50" spans="1:10" x14ac:dyDescent="0.45">
      <c r="A50" t="s">
        <v>610</v>
      </c>
    </row>
    <row r="52" spans="1:10" s="33" customFormat="1" x14ac:dyDescent="0.45">
      <c r="A52" s="34">
        <v>5</v>
      </c>
    </row>
    <row r="54" spans="1:10" x14ac:dyDescent="0.45">
      <c r="A54" s="213" t="s">
        <v>364</v>
      </c>
      <c r="B54" s="213">
        <v>420000</v>
      </c>
      <c r="C54" s="213"/>
      <c r="D54" s="98">
        <v>1</v>
      </c>
      <c r="E54" s="98">
        <v>2</v>
      </c>
      <c r="F54" s="98">
        <v>3</v>
      </c>
      <c r="G54" s="213"/>
      <c r="H54" s="213"/>
      <c r="I54" s="213"/>
      <c r="J54" s="213"/>
    </row>
    <row r="55" spans="1:10" x14ac:dyDescent="0.45">
      <c r="A55" s="213" t="s">
        <v>611</v>
      </c>
      <c r="B55" s="99">
        <v>0.03</v>
      </c>
      <c r="C55" s="213" t="s">
        <v>612</v>
      </c>
      <c r="D55" s="213">
        <v>220000</v>
      </c>
      <c r="E55" s="213">
        <f>D55*1.1</f>
        <v>242000.00000000003</v>
      </c>
      <c r="F55" s="213">
        <f>E55*1.1</f>
        <v>266200.00000000006</v>
      </c>
      <c r="G55" s="213"/>
      <c r="H55" s="213"/>
      <c r="I55" s="213"/>
      <c r="J55" s="213"/>
    </row>
    <row r="56" spans="1:10" x14ac:dyDescent="0.45">
      <c r="A56" s="213" t="s">
        <v>600</v>
      </c>
      <c r="B56" s="213"/>
      <c r="C56" s="213" t="s">
        <v>613</v>
      </c>
      <c r="D56" s="213">
        <f>D55*0.3</f>
        <v>66000</v>
      </c>
      <c r="E56" s="213">
        <f>E55*0.3</f>
        <v>72600</v>
      </c>
      <c r="F56" s="213">
        <f>F55*0.3</f>
        <v>79860.000000000015</v>
      </c>
      <c r="G56" s="213"/>
      <c r="H56" s="213"/>
      <c r="I56" s="213"/>
      <c r="J56" s="213"/>
    </row>
    <row r="57" spans="1:10" x14ac:dyDescent="0.45">
      <c r="A57" s="213"/>
      <c r="B57" s="213"/>
      <c r="C57" s="213" t="s">
        <v>485</v>
      </c>
      <c r="D57" s="213">
        <f>D55-D56</f>
        <v>154000</v>
      </c>
      <c r="E57" s="213">
        <f>E55-E56</f>
        <v>169400.00000000003</v>
      </c>
      <c r="F57" s="213">
        <f>F55-F56</f>
        <v>186340.00000000006</v>
      </c>
      <c r="G57" s="213"/>
      <c r="H57" s="213"/>
      <c r="I57" s="213"/>
      <c r="J57" s="213"/>
    </row>
    <row r="58" spans="1:10" x14ac:dyDescent="0.45">
      <c r="A58" s="213" t="s">
        <v>381</v>
      </c>
      <c r="B58" s="99">
        <v>7.0000000000000007E-2</v>
      </c>
      <c r="C58" s="213" t="s">
        <v>614</v>
      </c>
      <c r="D58" s="213">
        <f>20000</f>
        <v>20000</v>
      </c>
      <c r="E58" s="213">
        <f>20000</f>
        <v>20000</v>
      </c>
      <c r="F58" s="213">
        <f>20000</f>
        <v>20000</v>
      </c>
      <c r="G58" s="213"/>
      <c r="H58" s="213"/>
      <c r="I58" s="213"/>
      <c r="J58" s="213"/>
    </row>
    <row r="59" spans="1:10" x14ac:dyDescent="0.45">
      <c r="A59" s="213"/>
      <c r="B59" s="213"/>
      <c r="C59" s="213" t="s">
        <v>407</v>
      </c>
      <c r="D59" s="213">
        <f>D57-D58</f>
        <v>134000</v>
      </c>
      <c r="E59" s="213">
        <f>E57-E58</f>
        <v>149400.00000000003</v>
      </c>
      <c r="F59" s="213">
        <f>F57-F58</f>
        <v>166340.00000000006</v>
      </c>
      <c r="G59" s="213"/>
      <c r="H59" s="213"/>
      <c r="I59" s="213"/>
      <c r="J59" s="213"/>
    </row>
    <row r="60" spans="1:10" x14ac:dyDescent="0.45">
      <c r="A60" s="213"/>
      <c r="B60" s="213"/>
      <c r="C60" s="213" t="s">
        <v>615</v>
      </c>
      <c r="D60" s="213">
        <f>140000</f>
        <v>140000</v>
      </c>
      <c r="E60" s="213">
        <f>140000</f>
        <v>140000</v>
      </c>
      <c r="F60" s="213">
        <f>140000</f>
        <v>140000</v>
      </c>
      <c r="G60" s="213"/>
      <c r="H60" s="213"/>
      <c r="I60" s="213"/>
      <c r="J60" s="213"/>
    </row>
    <row r="61" spans="1:10" x14ac:dyDescent="0.45">
      <c r="A61" s="213"/>
      <c r="B61" s="213"/>
      <c r="C61" s="213" t="s">
        <v>413</v>
      </c>
      <c r="D61" s="213">
        <f>D59-D60</f>
        <v>-6000</v>
      </c>
      <c r="E61" s="213">
        <f>E59-E60</f>
        <v>9400.0000000000291</v>
      </c>
      <c r="F61" s="213">
        <f>F59-F60</f>
        <v>26340.000000000058</v>
      </c>
      <c r="G61" s="213"/>
      <c r="H61" s="213"/>
      <c r="I61" s="213"/>
      <c r="J61" s="213"/>
    </row>
    <row r="62" spans="1:10" x14ac:dyDescent="0.45">
      <c r="A62" s="213"/>
      <c r="B62" s="213"/>
      <c r="C62" s="213" t="s">
        <v>616</v>
      </c>
      <c r="D62" s="213">
        <v>0</v>
      </c>
      <c r="E62" s="213">
        <v>0</v>
      </c>
      <c r="F62" s="213">
        <v>0</v>
      </c>
      <c r="G62" s="213"/>
      <c r="H62" s="213"/>
      <c r="I62" s="213"/>
      <c r="J62" s="213"/>
    </row>
    <row r="63" spans="1:10" x14ac:dyDescent="0.45">
      <c r="A63" s="213"/>
      <c r="B63" s="213"/>
      <c r="C63" s="213" t="s">
        <v>415</v>
      </c>
      <c r="D63" s="213">
        <f>D61</f>
        <v>-6000</v>
      </c>
      <c r="E63" s="213">
        <f>E61</f>
        <v>9400.0000000000291</v>
      </c>
      <c r="F63" s="213">
        <f>F61</f>
        <v>26340.000000000058</v>
      </c>
      <c r="G63" s="213"/>
      <c r="H63" s="213"/>
      <c r="I63" s="213"/>
      <c r="J63" s="213"/>
    </row>
    <row r="64" spans="1:10" x14ac:dyDescent="0.45">
      <c r="A64" s="213"/>
      <c r="B64" s="213"/>
      <c r="C64" s="213" t="s">
        <v>617</v>
      </c>
      <c r="D64" s="213">
        <v>0</v>
      </c>
      <c r="E64" s="213">
        <f>D63+E63</f>
        <v>3400.0000000000291</v>
      </c>
      <c r="F64" s="213">
        <f>F63</f>
        <v>26340.000000000058</v>
      </c>
      <c r="G64" s="213"/>
      <c r="H64" s="213"/>
      <c r="I64" s="213"/>
      <c r="J64" s="213"/>
    </row>
    <row r="65" spans="1:12" x14ac:dyDescent="0.45">
      <c r="A65" s="213"/>
      <c r="B65" s="213"/>
      <c r="C65" s="213" t="s">
        <v>618</v>
      </c>
      <c r="D65" s="213"/>
      <c r="E65" s="213">
        <f>E64*0.25</f>
        <v>850.00000000000728</v>
      </c>
      <c r="F65" s="213">
        <f>F64*0.25</f>
        <v>6585.0000000000146</v>
      </c>
      <c r="G65" s="213"/>
      <c r="H65" s="213"/>
      <c r="I65" s="213"/>
      <c r="J65" s="213"/>
    </row>
    <row r="66" spans="1:12" x14ac:dyDescent="0.45">
      <c r="A66" s="213"/>
      <c r="B66" s="213"/>
      <c r="C66" s="213" t="s">
        <v>619</v>
      </c>
      <c r="D66" s="213">
        <f>D63</f>
        <v>-6000</v>
      </c>
      <c r="E66" s="213">
        <f>E63-E65</f>
        <v>8550.0000000000218</v>
      </c>
      <c r="F66" s="213">
        <f>F63-F65</f>
        <v>19755.000000000044</v>
      </c>
      <c r="G66" s="213"/>
      <c r="H66" s="213"/>
      <c r="I66" s="213" t="s">
        <v>620</v>
      </c>
      <c r="J66" s="213"/>
    </row>
    <row r="67" spans="1:12" x14ac:dyDescent="0.45">
      <c r="A67" s="213"/>
      <c r="B67" s="213"/>
      <c r="C67" s="213" t="s">
        <v>615</v>
      </c>
      <c r="D67" s="213">
        <f>D60</f>
        <v>140000</v>
      </c>
      <c r="E67" s="213">
        <f>E60</f>
        <v>140000</v>
      </c>
      <c r="F67" s="213">
        <f>F60</f>
        <v>140000</v>
      </c>
      <c r="H67" s="213"/>
      <c r="I67" t="s">
        <v>621</v>
      </c>
      <c r="J67" s="213">
        <f>F68*(1+B55)</f>
        <v>164547.65000000005</v>
      </c>
    </row>
    <row r="68" spans="1:12" x14ac:dyDescent="0.45">
      <c r="A68" s="213"/>
      <c r="B68" s="213"/>
      <c r="C68" s="213" t="s">
        <v>622</v>
      </c>
      <c r="D68" s="213">
        <f>D66+D67</f>
        <v>134000</v>
      </c>
      <c r="E68" s="213">
        <f>E66+E67</f>
        <v>148550.00000000003</v>
      </c>
      <c r="F68" s="213">
        <f>F66+F67</f>
        <v>159755.00000000006</v>
      </c>
      <c r="H68" s="213"/>
      <c r="I68" s="213" t="s">
        <v>623</v>
      </c>
      <c r="J68" s="213">
        <f>B58-B55</f>
        <v>4.0000000000000008E-2</v>
      </c>
    </row>
    <row r="69" spans="1:12" x14ac:dyDescent="0.45">
      <c r="A69" s="213"/>
      <c r="B69" s="213"/>
      <c r="C69" s="213" t="s">
        <v>600</v>
      </c>
      <c r="D69" s="213"/>
      <c r="E69" s="213"/>
      <c r="F69" s="213">
        <f>J67/J68</f>
        <v>4113691.2500000005</v>
      </c>
      <c r="G69" s="213"/>
      <c r="H69" s="213"/>
      <c r="I69" s="213"/>
      <c r="J69" s="213"/>
    </row>
    <row r="70" spans="1:12" x14ac:dyDescent="0.45">
      <c r="A70" s="213"/>
      <c r="B70" s="213"/>
      <c r="C70" s="213" t="s">
        <v>814</v>
      </c>
      <c r="D70" s="213">
        <f>D68+D69</f>
        <v>134000</v>
      </c>
      <c r="E70" s="213">
        <f t="shared" ref="E70:F70" si="0">E68+E69</f>
        <v>148550.00000000003</v>
      </c>
      <c r="F70" s="213">
        <f t="shared" si="0"/>
        <v>4273446.2500000009</v>
      </c>
      <c r="G70" s="213"/>
      <c r="H70" s="213"/>
      <c r="I70" s="213"/>
      <c r="J70" s="213"/>
    </row>
    <row r="71" spans="1:12" x14ac:dyDescent="0.45">
      <c r="A71" s="213"/>
      <c r="B71" s="213"/>
      <c r="C71" s="213" t="s">
        <v>601</v>
      </c>
      <c r="D71" s="213">
        <f>D70/(1+$B$58)^D54</f>
        <v>125233.64485981308</v>
      </c>
      <c r="E71" s="213">
        <f t="shared" ref="E71:F71" si="1">E70/(1+$B$58)^E54</f>
        <v>129749.3230849856</v>
      </c>
      <c r="F71" s="213">
        <f t="shared" si="1"/>
        <v>3488405.1008821735</v>
      </c>
      <c r="G71" s="213"/>
      <c r="H71" s="213"/>
      <c r="I71" s="213"/>
      <c r="J71" s="213"/>
    </row>
    <row r="72" spans="1:12" x14ac:dyDescent="0.45">
      <c r="A72" s="213"/>
      <c r="B72" s="213"/>
      <c r="C72" s="213"/>
      <c r="D72" s="213"/>
      <c r="E72" s="213"/>
      <c r="F72" s="213"/>
      <c r="G72" s="213"/>
      <c r="H72" s="213"/>
      <c r="I72" s="213"/>
      <c r="J72" s="213"/>
    </row>
    <row r="73" spans="1:12" x14ac:dyDescent="0.45">
      <c r="A73" s="213"/>
      <c r="B73" s="213"/>
      <c r="C73" s="213" t="s">
        <v>624</v>
      </c>
      <c r="D73" s="213">
        <f>SUM(D71:G71)</f>
        <v>3743388.068826972</v>
      </c>
      <c r="E73" s="213"/>
      <c r="F73" s="213"/>
      <c r="G73" s="213"/>
      <c r="H73" s="213"/>
      <c r="I73" s="213"/>
      <c r="J73" s="213"/>
    </row>
    <row r="74" spans="1:12" x14ac:dyDescent="0.45">
      <c r="A74" s="213"/>
      <c r="B74" s="213"/>
      <c r="C74" s="213"/>
      <c r="D74" s="213"/>
      <c r="E74" s="213"/>
      <c r="F74" s="213"/>
      <c r="G74" s="213"/>
      <c r="H74" s="213"/>
      <c r="I74" s="213"/>
      <c r="J74" s="213"/>
    </row>
    <row r="75" spans="1:12" x14ac:dyDescent="0.45">
      <c r="A75" s="213"/>
      <c r="B75" s="213"/>
      <c r="C75" s="218" t="s">
        <v>470</v>
      </c>
      <c r="D75" s="218">
        <f>-B54+D73</f>
        <v>3323388.068826972</v>
      </c>
      <c r="E75" s="213"/>
      <c r="F75" s="213"/>
      <c r="G75" s="213"/>
      <c r="H75" s="213"/>
      <c r="I75" s="213"/>
      <c r="J75" s="213"/>
    </row>
    <row r="76" spans="1:12" x14ac:dyDescent="0.45">
      <c r="A76" s="213"/>
      <c r="B76" s="213"/>
      <c r="C76" s="218" t="s">
        <v>471</v>
      </c>
      <c r="D76" s="218">
        <f>D73/B54</f>
        <v>8.9128287353023143</v>
      </c>
      <c r="E76" s="213"/>
      <c r="F76" s="213"/>
      <c r="G76" s="213"/>
      <c r="H76" s="213"/>
      <c r="I76" s="213"/>
      <c r="J76" s="213"/>
    </row>
    <row r="77" spans="1:12" x14ac:dyDescent="0.45">
      <c r="A77" s="213"/>
      <c r="B77" s="213"/>
      <c r="C77" s="213"/>
      <c r="D77" s="213"/>
      <c r="E77" s="213"/>
      <c r="F77" s="213"/>
      <c r="G77" s="213"/>
      <c r="H77" s="213"/>
      <c r="I77" s="213"/>
      <c r="J77" s="213"/>
    </row>
    <row r="78" spans="1:12" x14ac:dyDescent="0.45">
      <c r="A78" s="499" t="s">
        <v>625</v>
      </c>
      <c r="B78" s="500"/>
      <c r="C78" s="500"/>
      <c r="D78" s="500"/>
      <c r="E78" s="500"/>
      <c r="F78" s="500"/>
      <c r="G78" s="500"/>
      <c r="H78" s="500"/>
      <c r="I78" s="500"/>
      <c r="J78" s="500"/>
      <c r="K78" s="500"/>
      <c r="L78" s="501"/>
    </row>
    <row r="79" spans="1:12" x14ac:dyDescent="0.45">
      <c r="A79" s="502"/>
      <c r="B79" s="503"/>
      <c r="C79" s="503"/>
      <c r="D79" s="503"/>
      <c r="E79" s="503"/>
      <c r="F79" s="503"/>
      <c r="G79" s="503"/>
      <c r="H79" s="503"/>
      <c r="I79" s="503"/>
      <c r="J79" s="503"/>
      <c r="K79" s="503"/>
      <c r="L79" s="504"/>
    </row>
    <row r="80" spans="1:12" x14ac:dyDescent="0.45">
      <c r="A80" s="505"/>
      <c r="B80" s="506"/>
      <c r="C80" s="506"/>
      <c r="D80" s="506"/>
      <c r="E80" s="506"/>
      <c r="F80" s="506"/>
      <c r="G80" s="506"/>
      <c r="H80" s="506"/>
      <c r="I80" s="506"/>
      <c r="J80" s="506"/>
      <c r="K80" s="506"/>
      <c r="L80" s="507"/>
    </row>
    <row r="82" spans="1:12" s="33" customFormat="1" x14ac:dyDescent="0.45">
      <c r="A82" s="34">
        <v>6</v>
      </c>
    </row>
    <row r="84" spans="1:12" x14ac:dyDescent="0.45">
      <c r="A84" s="220" t="s">
        <v>287</v>
      </c>
      <c r="B84" s="220"/>
      <c r="C84" s="220"/>
      <c r="D84" s="220"/>
      <c r="E84" s="220"/>
      <c r="F84" s="220" t="s">
        <v>600</v>
      </c>
      <c r="G84" s="220">
        <f>B87</f>
        <v>5150000</v>
      </c>
      <c r="H84" s="220"/>
      <c r="I84" s="220"/>
      <c r="J84" s="220" t="s">
        <v>626</v>
      </c>
      <c r="K84" s="220"/>
      <c r="L84" s="220"/>
    </row>
    <row r="85" spans="1:12" x14ac:dyDescent="0.45">
      <c r="A85" s="220"/>
      <c r="B85" s="220"/>
      <c r="C85" s="220"/>
      <c r="D85" s="220"/>
      <c r="E85" s="220"/>
      <c r="F85" s="220"/>
      <c r="G85" s="220"/>
      <c r="H85" s="220"/>
      <c r="I85" s="220"/>
      <c r="J85" s="220"/>
      <c r="K85" s="220" t="s">
        <v>627</v>
      </c>
      <c r="L85" s="220"/>
    </row>
    <row r="86" spans="1:12" x14ac:dyDescent="0.45">
      <c r="A86" t="s">
        <v>628</v>
      </c>
      <c r="L86" s="220"/>
    </row>
    <row r="87" spans="1:12" x14ac:dyDescent="0.45">
      <c r="A87" t="s">
        <v>629</v>
      </c>
      <c r="B87" s="1">
        <f>450000*(1+3%)/(12%-3%)</f>
        <v>5150000</v>
      </c>
      <c r="J87" t="s">
        <v>630</v>
      </c>
      <c r="L87" s="220"/>
    </row>
    <row r="88" spans="1:12" x14ac:dyDescent="0.45">
      <c r="K88" t="s">
        <v>631</v>
      </c>
      <c r="L88" s="220"/>
    </row>
    <row r="89" spans="1:12" x14ac:dyDescent="0.45">
      <c r="A89" t="s">
        <v>632</v>
      </c>
      <c r="L89" s="220"/>
    </row>
    <row r="90" spans="1:12" x14ac:dyDescent="0.45">
      <c r="A90" t="s">
        <v>633</v>
      </c>
      <c r="B90">
        <v>0</v>
      </c>
      <c r="C90">
        <v>1</v>
      </c>
      <c r="D90">
        <v>2</v>
      </c>
      <c r="E90">
        <v>3</v>
      </c>
      <c r="F90">
        <v>4</v>
      </c>
      <c r="G90">
        <v>5</v>
      </c>
      <c r="J90" t="s">
        <v>634</v>
      </c>
      <c r="L90" s="220"/>
    </row>
    <row r="91" spans="1:12" x14ac:dyDescent="0.45">
      <c r="A91" s="220"/>
      <c r="B91" s="220"/>
      <c r="C91" s="220"/>
      <c r="D91" s="220"/>
      <c r="E91" s="220"/>
      <c r="F91" s="220"/>
      <c r="G91" s="220"/>
      <c r="H91" s="220"/>
      <c r="I91" s="220"/>
      <c r="J91" s="220"/>
      <c r="K91" s="220"/>
      <c r="L91" s="220"/>
    </row>
    <row r="92" spans="1:12" x14ac:dyDescent="0.45">
      <c r="A92" s="220" t="s">
        <v>635</v>
      </c>
      <c r="B92" s="220">
        <f>-1000000</f>
        <v>-1000000</v>
      </c>
      <c r="C92" s="220">
        <f>150000</f>
        <v>150000</v>
      </c>
      <c r="D92" s="220">
        <f>250000</f>
        <v>250000</v>
      </c>
      <c r="E92" s="220">
        <f>350000</f>
        <v>350000</v>
      </c>
      <c r="F92" s="220">
        <v>400000</v>
      </c>
      <c r="G92" s="220">
        <v>450000</v>
      </c>
      <c r="H92" s="220"/>
      <c r="I92" s="220"/>
      <c r="J92" s="220"/>
      <c r="K92" s="220"/>
      <c r="L92" s="220"/>
    </row>
    <row r="93" spans="1:12" x14ac:dyDescent="0.45">
      <c r="A93" s="220" t="s">
        <v>600</v>
      </c>
      <c r="B93" s="220"/>
      <c r="C93" s="220"/>
      <c r="D93" s="220"/>
      <c r="E93" s="220"/>
      <c r="F93" s="220"/>
      <c r="G93" s="220">
        <f>G84</f>
        <v>5150000</v>
      </c>
      <c r="H93" s="220"/>
      <c r="I93" s="220"/>
      <c r="J93" s="220"/>
      <c r="K93" s="220"/>
      <c r="L93" s="220"/>
    </row>
    <row r="94" spans="1:12" x14ac:dyDescent="0.45">
      <c r="A94" s="220"/>
      <c r="B94" s="220"/>
      <c r="C94" s="220"/>
      <c r="D94" s="220"/>
      <c r="E94" s="220"/>
      <c r="F94" s="220"/>
      <c r="G94" s="220"/>
      <c r="H94" s="220"/>
      <c r="I94" s="220"/>
      <c r="J94" s="220"/>
      <c r="K94" s="220"/>
      <c r="L94" s="220"/>
    </row>
    <row r="95" spans="1:12" x14ac:dyDescent="0.45">
      <c r="A95" s="220" t="s">
        <v>636</v>
      </c>
      <c r="B95" s="220">
        <f>B92</f>
        <v>-1000000</v>
      </c>
      <c r="C95" s="220">
        <f>C92/(1+12%)^C90</f>
        <v>133928.57142857142</v>
      </c>
      <c r="D95" s="220">
        <f>D92/(1+12%)^D90</f>
        <v>199298.46938775506</v>
      </c>
      <c r="E95" s="220">
        <f>E92/(1+12%)^E90</f>
        <v>249123.08673469382</v>
      </c>
      <c r="F95" s="220">
        <f>F92/(1+12%)^F90</f>
        <v>254207.23136193247</v>
      </c>
      <c r="G95" s="220">
        <f>(G92+G93)/(1+12%)^G90</f>
        <v>3177590.3920241557</v>
      </c>
      <c r="H95" s="220"/>
      <c r="I95" s="220"/>
      <c r="J95" s="220"/>
      <c r="K95" s="220"/>
      <c r="L95" s="220"/>
    </row>
    <row r="96" spans="1:12" x14ac:dyDescent="0.45">
      <c r="A96" s="220"/>
      <c r="B96" s="220"/>
      <c r="C96" s="220"/>
      <c r="D96" s="220"/>
      <c r="E96" s="220"/>
      <c r="F96" s="220"/>
      <c r="G96" s="220"/>
      <c r="H96" s="220"/>
      <c r="I96" s="220"/>
      <c r="J96" s="220"/>
      <c r="K96" s="220"/>
      <c r="L96" s="220"/>
    </row>
    <row r="97" spans="1:12" x14ac:dyDescent="0.45">
      <c r="A97" s="222">
        <v>3.1</v>
      </c>
      <c r="B97" s="220" t="s">
        <v>464</v>
      </c>
      <c r="C97" s="306">
        <f>SUM(B95:G95)</f>
        <v>3014147.7509371084</v>
      </c>
      <c r="D97" s="220"/>
      <c r="E97" s="220"/>
      <c r="F97" s="220"/>
      <c r="G97" s="220"/>
      <c r="H97" s="220"/>
      <c r="I97" s="220"/>
      <c r="J97" s="220"/>
      <c r="K97" s="220"/>
      <c r="L97" s="220"/>
    </row>
    <row r="98" spans="1:12" x14ac:dyDescent="0.45">
      <c r="A98" s="222"/>
      <c r="B98" s="220"/>
      <c r="C98" s="220"/>
      <c r="D98" s="220"/>
      <c r="E98" s="220"/>
      <c r="F98" s="220"/>
      <c r="G98" s="220"/>
      <c r="H98" s="220"/>
      <c r="I98" s="220"/>
      <c r="J98" s="220"/>
      <c r="K98" s="220"/>
      <c r="L98" s="220"/>
    </row>
    <row r="99" spans="1:12" x14ac:dyDescent="0.45">
      <c r="A99" s="222">
        <v>3.2</v>
      </c>
      <c r="B99" s="220" t="s">
        <v>637</v>
      </c>
      <c r="C99" s="220"/>
      <c r="D99" s="220"/>
      <c r="E99" s="220"/>
      <c r="F99" s="220"/>
      <c r="G99" s="220"/>
      <c r="H99" s="220"/>
      <c r="I99" s="220"/>
      <c r="J99" s="220"/>
      <c r="K99" s="220"/>
      <c r="L99" s="220"/>
    </row>
    <row r="100" spans="1:12" x14ac:dyDescent="0.45">
      <c r="A100" s="220"/>
      <c r="B100" s="220" t="s">
        <v>638</v>
      </c>
      <c r="C100" s="306">
        <f>-SUM(C95:G95)/B95</f>
        <v>4.0141477509371084</v>
      </c>
      <c r="D100" s="220"/>
      <c r="E100" s="220"/>
      <c r="F100" s="220"/>
      <c r="G100" s="220"/>
      <c r="H100" s="220"/>
      <c r="I100" s="220"/>
      <c r="J100" s="220"/>
      <c r="K100" s="220"/>
      <c r="L100" s="220"/>
    </row>
    <row r="101" spans="1:12" ht="14.65" thickBot="1" x14ac:dyDescent="0.5"/>
    <row r="102" spans="1:12" ht="16.149999999999999" thickBot="1" x14ac:dyDescent="0.5">
      <c r="A102" s="520" t="s">
        <v>639</v>
      </c>
      <c r="B102" s="521"/>
      <c r="C102" s="521"/>
      <c r="D102" s="521"/>
      <c r="E102" s="521"/>
      <c r="F102" s="521"/>
      <c r="G102" s="521"/>
      <c r="H102" s="521"/>
      <c r="I102" s="521"/>
      <c r="J102" s="521"/>
      <c r="K102" s="521"/>
      <c r="L102" s="522"/>
    </row>
    <row r="103" spans="1:12" ht="16.149999999999999" thickBot="1" x14ac:dyDescent="0.5">
      <c r="A103" s="520" t="s">
        <v>640</v>
      </c>
      <c r="B103" s="521"/>
      <c r="C103" s="521"/>
      <c r="D103" s="521"/>
      <c r="E103" s="521"/>
      <c r="F103" s="521"/>
      <c r="G103" s="521"/>
      <c r="H103" s="521"/>
      <c r="I103" s="521"/>
      <c r="J103" s="521"/>
      <c r="K103" s="521"/>
      <c r="L103" s="522"/>
    </row>
    <row r="105" spans="1:12" s="33" customFormat="1" x14ac:dyDescent="0.45">
      <c r="A105" s="34">
        <v>7</v>
      </c>
    </row>
    <row r="107" spans="1:12" x14ac:dyDescent="0.45">
      <c r="A107" s="471" t="s">
        <v>641</v>
      </c>
      <c r="B107" s="471"/>
      <c r="C107" s="471"/>
      <c r="D107" s="471"/>
      <c r="E107" s="471"/>
    </row>
    <row r="108" spans="1:12" x14ac:dyDescent="0.45">
      <c r="A108" s="471"/>
      <c r="B108" s="471"/>
      <c r="C108" s="471"/>
      <c r="D108" s="471"/>
      <c r="E108" s="471"/>
    </row>
    <row r="109" spans="1:12" x14ac:dyDescent="0.45">
      <c r="A109" s="471"/>
      <c r="B109" s="471"/>
      <c r="C109" s="471"/>
      <c r="D109" s="471"/>
      <c r="E109" s="471"/>
    </row>
    <row r="110" spans="1:12" x14ac:dyDescent="0.45">
      <c r="A110" s="471"/>
      <c r="B110" s="471"/>
      <c r="C110" s="471"/>
      <c r="D110" s="471"/>
      <c r="E110" s="471"/>
    </row>
    <row r="111" spans="1:12" x14ac:dyDescent="0.45">
      <c r="A111" s="471"/>
      <c r="B111" s="471"/>
      <c r="C111" s="471"/>
      <c r="D111" s="471"/>
      <c r="E111" s="471"/>
    </row>
    <row r="112" spans="1:12" x14ac:dyDescent="0.45">
      <c r="A112" s="471"/>
      <c r="B112" s="471"/>
      <c r="C112" s="471"/>
      <c r="D112" s="471"/>
      <c r="E112" s="471"/>
    </row>
    <row r="113" spans="1:5" x14ac:dyDescent="0.45">
      <c r="A113" s="471"/>
      <c r="B113" s="471"/>
      <c r="C113" s="471"/>
      <c r="D113" s="471"/>
      <c r="E113" s="471"/>
    </row>
    <row r="116" spans="1:5" ht="15.75" x14ac:dyDescent="0.5">
      <c r="A116" s="307" t="s">
        <v>392</v>
      </c>
      <c r="B116" s="308">
        <v>1</v>
      </c>
      <c r="C116" s="308">
        <v>2</v>
      </c>
      <c r="D116" s="308">
        <v>3</v>
      </c>
    </row>
    <row r="117" spans="1:5" x14ac:dyDescent="0.45">
      <c r="A117" s="50" t="s">
        <v>407</v>
      </c>
      <c r="B117" s="309">
        <v>50000</v>
      </c>
      <c r="C117" s="309">
        <f>B117+(B117*2)</f>
        <v>150000</v>
      </c>
      <c r="D117" s="309">
        <f>C117+(C117*0.9)</f>
        <v>285000</v>
      </c>
      <c r="E117" t="s">
        <v>642</v>
      </c>
    </row>
    <row r="118" spans="1:5" x14ac:dyDescent="0.45">
      <c r="A118" s="50" t="s">
        <v>288</v>
      </c>
      <c r="B118" s="309">
        <f>100000</f>
        <v>100000</v>
      </c>
      <c r="C118" s="309">
        <f>100000</f>
        <v>100000</v>
      </c>
      <c r="D118" s="309">
        <f>100000</f>
        <v>100000</v>
      </c>
    </row>
    <row r="119" spans="1:5" x14ac:dyDescent="0.45">
      <c r="A119" s="50" t="s">
        <v>413</v>
      </c>
      <c r="B119" s="309">
        <f>B117-B118</f>
        <v>-50000</v>
      </c>
      <c r="C119" s="309">
        <f>C117-C118</f>
        <v>50000</v>
      </c>
      <c r="D119" s="309">
        <f>D117-D118</f>
        <v>185000</v>
      </c>
    </row>
    <row r="120" spans="1:5" x14ac:dyDescent="0.45">
      <c r="A120" s="310" t="s">
        <v>307</v>
      </c>
      <c r="B120" s="311">
        <v>0</v>
      </c>
      <c r="C120" s="311">
        <v>0</v>
      </c>
      <c r="D120" s="311">
        <v>0</v>
      </c>
      <c r="E120" t="s">
        <v>643</v>
      </c>
    </row>
    <row r="121" spans="1:5" x14ac:dyDescent="0.45">
      <c r="A121" s="50" t="s">
        <v>415</v>
      </c>
      <c r="B121" s="309">
        <f>B119-B120</f>
        <v>-50000</v>
      </c>
      <c r="C121" s="309">
        <f>C119-C120</f>
        <v>50000</v>
      </c>
      <c r="D121" s="309">
        <f>D119-D120</f>
        <v>185000</v>
      </c>
    </row>
    <row r="122" spans="1:5" x14ac:dyDescent="0.45">
      <c r="A122" s="50" t="s">
        <v>644</v>
      </c>
      <c r="B122" s="309">
        <f>0</f>
        <v>0</v>
      </c>
      <c r="C122" s="309">
        <v>0</v>
      </c>
      <c r="D122" s="309">
        <f>D121*0.5</f>
        <v>92500</v>
      </c>
      <c r="E122" t="s">
        <v>645</v>
      </c>
    </row>
    <row r="123" spans="1:5" x14ac:dyDescent="0.45">
      <c r="A123" s="50" t="s">
        <v>598</v>
      </c>
      <c r="B123" s="309">
        <f>B121-B122</f>
        <v>-50000</v>
      </c>
      <c r="C123" s="309">
        <f>C121-C122</f>
        <v>50000</v>
      </c>
      <c r="D123" s="309">
        <f>D121-D122</f>
        <v>92500</v>
      </c>
    </row>
    <row r="124" spans="1:5" x14ac:dyDescent="0.45">
      <c r="A124" s="50" t="s">
        <v>646</v>
      </c>
      <c r="B124" s="309">
        <f>B118</f>
        <v>100000</v>
      </c>
      <c r="C124" s="309">
        <f>C118</f>
        <v>100000</v>
      </c>
      <c r="D124" s="309">
        <f>D118</f>
        <v>100000</v>
      </c>
    </row>
    <row r="125" spans="1:5" x14ac:dyDescent="0.45">
      <c r="A125" s="50" t="s">
        <v>647</v>
      </c>
      <c r="B125" s="309">
        <f>B123+B124</f>
        <v>50000</v>
      </c>
      <c r="C125" s="309">
        <f>C123+C124</f>
        <v>150000</v>
      </c>
      <c r="D125" s="309">
        <f>D123+D124</f>
        <v>192500</v>
      </c>
    </row>
    <row r="126" spans="1:5" x14ac:dyDescent="0.45">
      <c r="A126" s="50" t="s">
        <v>648</v>
      </c>
      <c r="B126" s="309"/>
      <c r="C126" s="309"/>
      <c r="D126" s="309">
        <f>(D125*(1+0.02))/(0.06-0.02)</f>
        <v>4908750.0000000009</v>
      </c>
    </row>
    <row r="127" spans="1:5" x14ac:dyDescent="0.45">
      <c r="A127" s="50" t="s">
        <v>649</v>
      </c>
      <c r="B127" s="309">
        <f>B125+B126</f>
        <v>50000</v>
      </c>
      <c r="C127" s="309">
        <f>C125+C126</f>
        <v>150000</v>
      </c>
      <c r="D127" s="309">
        <f>D125+D126</f>
        <v>5101250.0000000009</v>
      </c>
    </row>
    <row r="128" spans="1:5" x14ac:dyDescent="0.45">
      <c r="A128" s="50" t="s">
        <v>650</v>
      </c>
      <c r="B128" s="309">
        <f>B127/(1+0.06)^B116</f>
        <v>47169.811320754714</v>
      </c>
      <c r="C128" s="309">
        <f>C127/(1+0.06)^C116</f>
        <v>133499.46600213597</v>
      </c>
      <c r="D128" s="309">
        <f>D127/(1+0.06)^D116</f>
        <v>4283107.8675685292</v>
      </c>
    </row>
    <row r="129" spans="1:9" x14ac:dyDescent="0.45">
      <c r="A129" s="50"/>
      <c r="B129" s="309"/>
      <c r="C129" s="309"/>
      <c r="D129" s="309"/>
    </row>
    <row r="130" spans="1:9" x14ac:dyDescent="0.45">
      <c r="A130" s="50" t="s">
        <v>651</v>
      </c>
      <c r="B130" s="312">
        <f>SUM(B128:D128)</f>
        <v>4463777.1448914204</v>
      </c>
      <c r="C130" s="309"/>
      <c r="D130" s="309"/>
    </row>
    <row r="132" spans="1:9" x14ac:dyDescent="0.45">
      <c r="A132" s="313" t="s">
        <v>652</v>
      </c>
    </row>
    <row r="133" spans="1:9" s="33" customFormat="1" x14ac:dyDescent="0.45">
      <c r="A133" s="34">
        <v>8</v>
      </c>
    </row>
    <row r="135" spans="1:9" x14ac:dyDescent="0.45">
      <c r="A135" t="s">
        <v>653</v>
      </c>
    </row>
    <row r="137" spans="1:9" x14ac:dyDescent="0.45">
      <c r="A137" t="s">
        <v>654</v>
      </c>
    </row>
    <row r="139" spans="1:9" x14ac:dyDescent="0.45">
      <c r="A139" s="314" t="s">
        <v>95</v>
      </c>
      <c r="B139" t="s">
        <v>464</v>
      </c>
      <c r="C139" t="s">
        <v>655</v>
      </c>
      <c r="D139" t="s">
        <v>656</v>
      </c>
    </row>
    <row r="140" spans="1:9" x14ac:dyDescent="0.45">
      <c r="B140" t="s">
        <v>468</v>
      </c>
      <c r="C140" s="315" t="s">
        <v>469</v>
      </c>
      <c r="D140" s="523" t="s">
        <v>657</v>
      </c>
      <c r="E140" s="523"/>
    </row>
    <row r="141" spans="1:9" x14ac:dyDescent="0.45">
      <c r="C141" s="209" t="s">
        <v>410</v>
      </c>
      <c r="D141" s="523"/>
      <c r="E141" s="523"/>
      <c r="G141" s="489" t="s">
        <v>658</v>
      </c>
      <c r="H141" s="489"/>
      <c r="I141" s="489"/>
    </row>
    <row r="142" spans="1:9" x14ac:dyDescent="0.45">
      <c r="G142" s="489"/>
      <c r="H142" s="489"/>
      <c r="I142" s="489"/>
    </row>
    <row r="143" spans="1:9" x14ac:dyDescent="0.45">
      <c r="B143" t="s">
        <v>468</v>
      </c>
      <c r="C143" s="315" t="s">
        <v>475</v>
      </c>
      <c r="D143" s="515" t="s">
        <v>659</v>
      </c>
      <c r="E143" s="516"/>
      <c r="G143" s="489"/>
      <c r="H143" s="489"/>
      <c r="I143" s="489"/>
    </row>
    <row r="144" spans="1:9" x14ac:dyDescent="0.45">
      <c r="C144" s="209" t="s">
        <v>410</v>
      </c>
      <c r="D144" s="516"/>
      <c r="E144" s="516"/>
      <c r="G144" s="489"/>
      <c r="H144" s="489"/>
      <c r="I144" s="489"/>
    </row>
    <row r="145" spans="1:10" x14ac:dyDescent="0.45">
      <c r="D145" s="16" t="s">
        <v>660</v>
      </c>
      <c r="G145" s="489"/>
      <c r="H145" s="489"/>
      <c r="I145" s="489"/>
    </row>
    <row r="146" spans="1:10" x14ac:dyDescent="0.45">
      <c r="D146" s="16" t="s">
        <v>661</v>
      </c>
      <c r="G146" s="489"/>
      <c r="H146" s="489"/>
      <c r="I146" s="489"/>
    </row>
    <row r="147" spans="1:10" x14ac:dyDescent="0.45">
      <c r="D147" s="316" t="s">
        <v>662</v>
      </c>
    </row>
    <row r="149" spans="1:10" s="33" customFormat="1" x14ac:dyDescent="0.45">
      <c r="A149" s="34">
        <v>9</v>
      </c>
    </row>
    <row r="150" spans="1:10" x14ac:dyDescent="0.45">
      <c r="A150" s="38" t="s">
        <v>663</v>
      </c>
      <c r="B150" s="317" t="s">
        <v>664</v>
      </c>
    </row>
    <row r="151" spans="1:10" x14ac:dyDescent="0.45">
      <c r="A151" s="40" t="s">
        <v>665</v>
      </c>
      <c r="B151" s="40" t="s">
        <v>666</v>
      </c>
      <c r="C151" s="40">
        <v>1</v>
      </c>
      <c r="D151" s="40">
        <v>2</v>
      </c>
      <c r="E151" s="40">
        <v>3</v>
      </c>
      <c r="F151" s="40">
        <v>4</v>
      </c>
      <c r="G151" s="40">
        <v>5</v>
      </c>
      <c r="H151" t="s">
        <v>381</v>
      </c>
      <c r="I151" s="210">
        <v>0.1</v>
      </c>
    </row>
    <row r="152" spans="1:10" x14ac:dyDescent="0.45">
      <c r="A152" s="29" t="s">
        <v>407</v>
      </c>
      <c r="B152" s="41">
        <f>1000000</f>
        <v>1000000</v>
      </c>
      <c r="C152" s="41"/>
      <c r="D152" s="29"/>
      <c r="E152" s="29"/>
      <c r="F152" s="29"/>
      <c r="G152" s="29"/>
      <c r="H152" t="s">
        <v>667</v>
      </c>
      <c r="I152" s="210">
        <v>0.05</v>
      </c>
    </row>
    <row r="153" spans="1:10" x14ac:dyDescent="0.45">
      <c r="A153" s="29" t="s">
        <v>615</v>
      </c>
      <c r="B153" s="41">
        <f>200000</f>
        <v>200000</v>
      </c>
      <c r="C153" s="41"/>
      <c r="D153" s="29"/>
      <c r="E153" s="29"/>
      <c r="F153" s="29"/>
      <c r="G153" s="29"/>
      <c r="H153" t="s">
        <v>668</v>
      </c>
      <c r="I153" s="210">
        <v>0.01</v>
      </c>
    </row>
    <row r="154" spans="1:10" x14ac:dyDescent="0.45">
      <c r="A154" s="29" t="s">
        <v>413</v>
      </c>
      <c r="B154" s="41">
        <v>800000</v>
      </c>
      <c r="C154" s="41"/>
      <c r="D154" s="29"/>
      <c r="E154" s="29"/>
      <c r="F154" s="29"/>
      <c r="G154" s="29"/>
    </row>
    <row r="155" spans="1:10" ht="28.5" x14ac:dyDescent="0.45">
      <c r="A155" s="318" t="s">
        <v>669</v>
      </c>
      <c r="B155" s="41">
        <f>B154*0.3</f>
        <v>240000</v>
      </c>
      <c r="C155" s="41"/>
      <c r="D155" s="29"/>
      <c r="E155" s="29"/>
      <c r="F155" s="29"/>
      <c r="G155" s="29"/>
    </row>
    <row r="156" spans="1:10" x14ac:dyDescent="0.45">
      <c r="A156" s="29" t="s">
        <v>458</v>
      </c>
      <c r="B156" s="41">
        <f>B154-B155</f>
        <v>560000</v>
      </c>
      <c r="C156" s="41"/>
      <c r="D156" s="29"/>
      <c r="E156" s="29"/>
      <c r="F156" s="29"/>
      <c r="G156" s="29"/>
    </row>
    <row r="157" spans="1:10" x14ac:dyDescent="0.45">
      <c r="A157" s="29" t="s">
        <v>670</v>
      </c>
      <c r="B157" s="41">
        <f>200000</f>
        <v>200000</v>
      </c>
      <c r="C157" s="41"/>
      <c r="D157" s="29"/>
      <c r="E157" s="29"/>
      <c r="F157" s="29"/>
      <c r="G157" s="29"/>
    </row>
    <row r="158" spans="1:10" x14ac:dyDescent="0.45">
      <c r="A158" s="29" t="s">
        <v>461</v>
      </c>
      <c r="B158" s="41">
        <f>B157+B156</f>
        <v>760000</v>
      </c>
      <c r="C158" s="41">
        <f>B158*1.05</f>
        <v>798000</v>
      </c>
      <c r="D158" s="41">
        <f>C158*1.05</f>
        <v>837900</v>
      </c>
      <c r="E158" s="41">
        <f>D158*1.05</f>
        <v>879795</v>
      </c>
      <c r="F158" s="41">
        <f>E158*1.05</f>
        <v>923784.75</v>
      </c>
      <c r="G158" s="41">
        <f>F158*1.05</f>
        <v>969973.98750000005</v>
      </c>
    </row>
    <row r="159" spans="1:10" x14ac:dyDescent="0.45">
      <c r="A159" s="29" t="s">
        <v>671</v>
      </c>
      <c r="B159" s="29"/>
      <c r="C159" s="29"/>
      <c r="D159" s="29"/>
      <c r="E159" s="29"/>
      <c r="F159" s="29"/>
      <c r="G159" s="41">
        <f>(G158*(1+I153))/(I151-I153)</f>
        <v>10885263.637499999</v>
      </c>
      <c r="J159" t="s">
        <v>672</v>
      </c>
    </row>
    <row r="160" spans="1:10" x14ac:dyDescent="0.45">
      <c r="A160" s="29" t="s">
        <v>673</v>
      </c>
      <c r="B160" s="29"/>
      <c r="C160" s="41">
        <f>C158/(1+I151)</f>
        <v>725454.54545454541</v>
      </c>
      <c r="D160" s="41">
        <f>D158/(1+I151)^2</f>
        <v>692479.33884297509</v>
      </c>
      <c r="E160" s="41">
        <f>E158/(1+I151)^3</f>
        <v>661003.00525920338</v>
      </c>
      <c r="F160" s="41">
        <f>F158/(1+I151)^4</f>
        <v>630957.41411105776</v>
      </c>
      <c r="G160" s="41">
        <f>(G159+G158)/(1+I151)^5</f>
        <v>7361169.8312956737</v>
      </c>
      <c r="H160" s="17" t="s">
        <v>674</v>
      </c>
      <c r="J160" s="207">
        <f>SUM(C160:G160)</f>
        <v>10071064.134963455</v>
      </c>
    </row>
    <row r="161" spans="1:12" x14ac:dyDescent="0.45">
      <c r="C161" s="319"/>
      <c r="D161" s="319"/>
      <c r="E161" s="319"/>
      <c r="F161" s="319"/>
      <c r="G161" s="319"/>
      <c r="H161" s="17"/>
      <c r="J161" s="37"/>
    </row>
    <row r="162" spans="1:12" s="33" customFormat="1" x14ac:dyDescent="0.45">
      <c r="A162" s="34">
        <v>10</v>
      </c>
    </row>
    <row r="163" spans="1:12" x14ac:dyDescent="0.45">
      <c r="C163" s="319"/>
      <c r="D163" s="319"/>
      <c r="E163" s="319"/>
      <c r="F163" s="319"/>
      <c r="G163" s="319"/>
      <c r="H163" s="17"/>
      <c r="J163" s="37"/>
    </row>
    <row r="164" spans="1:12" ht="15.75" x14ac:dyDescent="0.5">
      <c r="A164" s="320" t="s">
        <v>675</v>
      </c>
      <c r="B164" s="321">
        <v>0</v>
      </c>
      <c r="C164" s="322">
        <v>1</v>
      </c>
      <c r="D164" s="322">
        <v>2</v>
      </c>
      <c r="E164" s="322">
        <v>3</v>
      </c>
      <c r="F164" s="322">
        <v>4</v>
      </c>
      <c r="G164" s="322">
        <v>5</v>
      </c>
      <c r="H164" s="75"/>
      <c r="I164" s="50"/>
      <c r="J164" s="50"/>
      <c r="K164" s="50"/>
      <c r="L164" s="50"/>
    </row>
    <row r="165" spans="1:12" x14ac:dyDescent="0.45">
      <c r="A165" s="50" t="s">
        <v>676</v>
      </c>
      <c r="B165" s="323">
        <f>-100000</f>
        <v>-100000</v>
      </c>
      <c r="C165" s="323">
        <v>25000</v>
      </c>
      <c r="D165" s="323">
        <v>20000</v>
      </c>
      <c r="E165" s="323">
        <f>20000</f>
        <v>20000</v>
      </c>
      <c r="F165" s="323">
        <f>20000</f>
        <v>20000</v>
      </c>
      <c r="G165" s="323">
        <f>20000</f>
        <v>20000</v>
      </c>
      <c r="H165" s="50"/>
      <c r="I165" s="324">
        <f>IRR(B165:G165)</f>
        <v>1.7042694767353206E-2</v>
      </c>
      <c r="J165" s="78" t="s">
        <v>677</v>
      </c>
      <c r="K165" s="50"/>
      <c r="L165" s="50"/>
    </row>
    <row r="166" spans="1:12" x14ac:dyDescent="0.45">
      <c r="A166" s="50"/>
      <c r="B166" s="50"/>
      <c r="C166" s="50"/>
      <c r="D166" s="50"/>
      <c r="E166" s="50"/>
      <c r="F166" s="50"/>
      <c r="G166" s="51" t="s">
        <v>678</v>
      </c>
      <c r="H166" s="50"/>
      <c r="I166" s="50"/>
      <c r="J166" s="50"/>
      <c r="K166" s="50"/>
      <c r="L166" s="50"/>
    </row>
    <row r="167" spans="1:12" x14ac:dyDescent="0.45">
      <c r="A167" s="50"/>
      <c r="B167" s="50"/>
      <c r="C167" s="50"/>
      <c r="D167" s="50"/>
      <c r="E167" s="50"/>
      <c r="F167" s="50"/>
      <c r="G167" s="325" t="s">
        <v>679</v>
      </c>
      <c r="H167" s="50"/>
      <c r="I167" s="50"/>
      <c r="J167" s="50"/>
      <c r="K167" s="50"/>
      <c r="L167" s="50"/>
    </row>
    <row r="168" spans="1:12" x14ac:dyDescent="0.45">
      <c r="A168" s="524" t="s">
        <v>680</v>
      </c>
      <c r="B168" s="525"/>
      <c r="C168" s="525"/>
      <c r="D168" s="525"/>
      <c r="E168" s="525"/>
      <c r="F168" s="525"/>
      <c r="G168" s="525"/>
      <c r="H168" s="525"/>
      <c r="I168" s="525"/>
      <c r="J168" s="525"/>
      <c r="K168" s="525"/>
      <c r="L168" s="526"/>
    </row>
    <row r="169" spans="1:12" x14ac:dyDescent="0.45">
      <c r="A169" s="527"/>
      <c r="B169" s="528"/>
      <c r="C169" s="528"/>
      <c r="D169" s="528"/>
      <c r="E169" s="528"/>
      <c r="F169" s="528"/>
      <c r="G169" s="528"/>
      <c r="H169" s="528"/>
      <c r="I169" s="528"/>
      <c r="J169" s="528"/>
      <c r="K169" s="528"/>
      <c r="L169" s="529"/>
    </row>
    <row r="170" spans="1:12" x14ac:dyDescent="0.45">
      <c r="A170" s="530"/>
      <c r="B170" s="531"/>
      <c r="C170" s="531"/>
      <c r="D170" s="531"/>
      <c r="E170" s="531"/>
      <c r="F170" s="531"/>
      <c r="G170" s="531"/>
      <c r="H170" s="531"/>
      <c r="I170" s="531"/>
      <c r="J170" s="531"/>
      <c r="K170" s="531"/>
      <c r="L170" s="532"/>
    </row>
    <row r="171" spans="1:12" s="33" customFormat="1" x14ac:dyDescent="0.45">
      <c r="A171" s="34">
        <v>11</v>
      </c>
    </row>
    <row r="174" spans="1:12" x14ac:dyDescent="0.45">
      <c r="A174">
        <v>1.1000000000000001</v>
      </c>
      <c r="B174" t="s">
        <v>681</v>
      </c>
    </row>
    <row r="175" spans="1:12" x14ac:dyDescent="0.45">
      <c r="A175">
        <v>1.2</v>
      </c>
      <c r="B175" t="s">
        <v>682</v>
      </c>
    </row>
    <row r="176" spans="1:12" x14ac:dyDescent="0.45">
      <c r="A176">
        <v>1.3</v>
      </c>
      <c r="B176" t="s">
        <v>683</v>
      </c>
    </row>
    <row r="177" spans="1:4" x14ac:dyDescent="0.45">
      <c r="A177">
        <v>1.4</v>
      </c>
      <c r="B177" t="s">
        <v>684</v>
      </c>
    </row>
    <row r="178" spans="1:4" x14ac:dyDescent="0.45">
      <c r="A178">
        <v>1.5</v>
      </c>
      <c r="B178" t="s">
        <v>685</v>
      </c>
    </row>
    <row r="179" spans="1:4" x14ac:dyDescent="0.45">
      <c r="B179" t="s">
        <v>686</v>
      </c>
    </row>
    <row r="180" spans="1:4" x14ac:dyDescent="0.45">
      <c r="B180" t="s">
        <v>687</v>
      </c>
    </row>
    <row r="182" spans="1:4" s="33" customFormat="1" x14ac:dyDescent="0.45">
      <c r="A182" s="34">
        <v>12</v>
      </c>
    </row>
    <row r="185" spans="1:4" x14ac:dyDescent="0.45">
      <c r="A185" s="17" t="s">
        <v>688</v>
      </c>
      <c r="B185" s="17">
        <v>1</v>
      </c>
      <c r="C185" s="17">
        <v>2</v>
      </c>
      <c r="D185" s="17">
        <v>3</v>
      </c>
    </row>
    <row r="186" spans="1:4" x14ac:dyDescent="0.45">
      <c r="A186" s="17" t="s">
        <v>96</v>
      </c>
      <c r="B186" s="15">
        <v>750000</v>
      </c>
      <c r="C186" s="15">
        <f>B186*(1+8%)</f>
        <v>810000</v>
      </c>
      <c r="D186" s="15">
        <f>C186*(1+8%)</f>
        <v>874800</v>
      </c>
    </row>
    <row r="187" spans="1:4" x14ac:dyDescent="0.45">
      <c r="A187" s="17" t="s">
        <v>88</v>
      </c>
      <c r="B187" s="15">
        <f>B186*24%</f>
        <v>180000</v>
      </c>
      <c r="C187" s="15">
        <f>C186*24%</f>
        <v>194400</v>
      </c>
      <c r="D187" s="15">
        <f>D186*24%</f>
        <v>209952</v>
      </c>
    </row>
    <row r="188" spans="1:4" x14ac:dyDescent="0.45">
      <c r="A188" s="17" t="s">
        <v>689</v>
      </c>
      <c r="B188" s="15">
        <v>30000</v>
      </c>
      <c r="C188" s="15">
        <v>30000</v>
      </c>
      <c r="D188" s="15">
        <v>30000</v>
      </c>
    </row>
    <row r="189" spans="1:4" x14ac:dyDescent="0.45">
      <c r="A189" s="17" t="s">
        <v>407</v>
      </c>
      <c r="B189" s="15">
        <f>B186-B187-B188</f>
        <v>540000</v>
      </c>
      <c r="C189" s="15">
        <f>C186-C187-C188</f>
        <v>585600</v>
      </c>
      <c r="D189" s="15">
        <f>D186-D187-D188</f>
        <v>634848</v>
      </c>
    </row>
    <row r="190" spans="1:4" x14ac:dyDescent="0.45">
      <c r="A190" s="17" t="s">
        <v>288</v>
      </c>
      <c r="B190" s="15">
        <v>80000</v>
      </c>
      <c r="C190" s="15">
        <v>80000</v>
      </c>
      <c r="D190" s="15">
        <v>80000</v>
      </c>
    </row>
    <row r="191" spans="1:4" x14ac:dyDescent="0.45">
      <c r="A191" s="17" t="s">
        <v>413</v>
      </c>
      <c r="B191" s="15">
        <f>B189-B190</f>
        <v>460000</v>
      </c>
      <c r="C191" s="15">
        <f>C189-C190</f>
        <v>505600</v>
      </c>
      <c r="D191" s="15">
        <f>D189-D190</f>
        <v>554848</v>
      </c>
    </row>
    <row r="192" spans="1:4" x14ac:dyDescent="0.45">
      <c r="A192" s="17" t="s">
        <v>307</v>
      </c>
      <c r="B192" s="15">
        <v>0</v>
      </c>
      <c r="C192" s="15">
        <v>0</v>
      </c>
      <c r="D192" s="15">
        <v>0</v>
      </c>
    </row>
    <row r="193" spans="1:9" x14ac:dyDescent="0.45">
      <c r="A193" s="17" t="s">
        <v>415</v>
      </c>
      <c r="B193" s="15">
        <f>B191-B192</f>
        <v>460000</v>
      </c>
      <c r="C193" s="15">
        <f>C191-C192</f>
        <v>505600</v>
      </c>
      <c r="D193" s="15">
        <f>D191-D192</f>
        <v>554848</v>
      </c>
    </row>
    <row r="194" spans="1:9" x14ac:dyDescent="0.45">
      <c r="A194" s="17" t="s">
        <v>690</v>
      </c>
      <c r="B194" s="15">
        <f>B193*20%</f>
        <v>92000</v>
      </c>
      <c r="C194" s="15">
        <f>C193*20%</f>
        <v>101120</v>
      </c>
      <c r="D194" s="15">
        <f>D193*20%</f>
        <v>110969.60000000001</v>
      </c>
    </row>
    <row r="195" spans="1:9" x14ac:dyDescent="0.45">
      <c r="A195" s="17" t="s">
        <v>598</v>
      </c>
      <c r="B195" s="15">
        <f>B193-B194</f>
        <v>368000</v>
      </c>
      <c r="C195" s="15">
        <f>C193-C194</f>
        <v>404480</v>
      </c>
      <c r="D195" s="15">
        <f>D193-D194</f>
        <v>443878.40000000002</v>
      </c>
    </row>
    <row r="196" spans="1:9" x14ac:dyDescent="0.45">
      <c r="A196" s="17" t="s">
        <v>691</v>
      </c>
      <c r="B196" s="15">
        <f>B190</f>
        <v>80000</v>
      </c>
      <c r="C196" s="15">
        <f>C190</f>
        <v>80000</v>
      </c>
      <c r="D196" s="15">
        <f>D190</f>
        <v>80000</v>
      </c>
    </row>
    <row r="197" spans="1:9" x14ac:dyDescent="0.45">
      <c r="A197" s="17" t="s">
        <v>692</v>
      </c>
      <c r="B197" s="15">
        <f>B195+B196</f>
        <v>448000</v>
      </c>
      <c r="C197" s="15">
        <f>C195+C196</f>
        <v>484480</v>
      </c>
      <c r="D197" s="15">
        <f>D195+D196</f>
        <v>523878.40000000002</v>
      </c>
    </row>
    <row r="198" spans="1:9" x14ac:dyDescent="0.45">
      <c r="A198" s="17" t="s">
        <v>600</v>
      </c>
      <c r="B198" s="15"/>
      <c r="C198" s="15"/>
      <c r="D198" s="15">
        <f>D197*(1+I199)/(I198-I199)</f>
        <v>8905932.8000000007</v>
      </c>
      <c r="F198" t="s">
        <v>693</v>
      </c>
      <c r="H198" t="s">
        <v>381</v>
      </c>
      <c r="I198" s="99">
        <v>0.08</v>
      </c>
    </row>
    <row r="199" spans="1:9" x14ac:dyDescent="0.45">
      <c r="A199" s="17" t="s">
        <v>694</v>
      </c>
      <c r="B199" s="15">
        <f>B197/(1+$I$198)^B185</f>
        <v>414814.81481481477</v>
      </c>
      <c r="C199" s="15">
        <f>C197/(1+$I$198)^C185</f>
        <v>415363.51165980793</v>
      </c>
      <c r="D199" s="15">
        <f>(D197+D198)/(1+$I$198)^D185</f>
        <v>7485688.1572930953</v>
      </c>
      <c r="F199" t="s">
        <v>513</v>
      </c>
      <c r="H199" t="s">
        <v>695</v>
      </c>
      <c r="I199" s="99">
        <v>0.02</v>
      </c>
    </row>
    <row r="201" spans="1:9" x14ac:dyDescent="0.45">
      <c r="A201" s="17" t="s">
        <v>696</v>
      </c>
      <c r="B201" s="17"/>
      <c r="C201" s="326">
        <f>SUM(B199:D199)</f>
        <v>8315866.4837677181</v>
      </c>
      <c r="D201" s="17" t="s">
        <v>697</v>
      </c>
      <c r="E201" s="17"/>
    </row>
    <row r="203" spans="1:9" s="33" customFormat="1" x14ac:dyDescent="0.45">
      <c r="A203" s="34">
        <v>13</v>
      </c>
    </row>
    <row r="204" spans="1:9" x14ac:dyDescent="0.45">
      <c r="A204" s="206"/>
      <c r="B204" s="206"/>
      <c r="C204" s="206"/>
      <c r="D204" s="206"/>
      <c r="E204" s="206"/>
      <c r="F204" s="206"/>
      <c r="G204" s="206"/>
    </row>
    <row r="205" spans="1:9" x14ac:dyDescent="0.45">
      <c r="A205" s="263"/>
      <c r="B205" s="263" t="s">
        <v>677</v>
      </c>
      <c r="C205" s="263"/>
      <c r="D205" s="263"/>
      <c r="E205" s="263"/>
      <c r="F205" s="206"/>
      <c r="G205" s="206"/>
    </row>
    <row r="206" spans="1:9" x14ac:dyDescent="0.45">
      <c r="A206" s="263" t="s">
        <v>698</v>
      </c>
      <c r="B206" s="327">
        <v>0.06</v>
      </c>
      <c r="C206" s="263"/>
      <c r="D206" s="263"/>
      <c r="E206" s="263"/>
      <c r="F206" s="206"/>
      <c r="G206" s="206"/>
    </row>
    <row r="207" spans="1:9" x14ac:dyDescent="0.45">
      <c r="A207" s="263" t="s">
        <v>699</v>
      </c>
      <c r="B207" s="327">
        <v>0.15</v>
      </c>
      <c r="C207" s="263"/>
      <c r="D207" s="263"/>
      <c r="E207" s="263"/>
      <c r="F207" s="206"/>
      <c r="G207" s="206"/>
    </row>
    <row r="208" spans="1:9" x14ac:dyDescent="0.45">
      <c r="A208" s="263" t="s">
        <v>700</v>
      </c>
      <c r="B208" s="263"/>
      <c r="C208" s="263"/>
      <c r="D208" s="263"/>
      <c r="E208" s="263"/>
      <c r="F208" s="206"/>
      <c r="G208" s="206"/>
    </row>
    <row r="209" spans="1:9" x14ac:dyDescent="0.45">
      <c r="A209" s="263"/>
      <c r="B209" s="263"/>
      <c r="C209" s="263"/>
      <c r="D209" s="263"/>
      <c r="E209" s="263"/>
      <c r="F209" s="206"/>
      <c r="G209" s="206"/>
    </row>
    <row r="210" spans="1:9" x14ac:dyDescent="0.45">
      <c r="A210" s="263" t="s">
        <v>701</v>
      </c>
      <c r="B210" s="263"/>
      <c r="C210" s="263"/>
      <c r="D210" s="263"/>
      <c r="E210" s="263"/>
      <c r="F210" s="206"/>
      <c r="G210" s="206"/>
    </row>
    <row r="211" spans="1:9" x14ac:dyDescent="0.45">
      <c r="A211" s="263" t="s">
        <v>702</v>
      </c>
      <c r="B211" s="263"/>
      <c r="C211" s="263"/>
      <c r="D211" s="263"/>
      <c r="E211" s="263"/>
      <c r="F211" s="206"/>
      <c r="G211" s="206"/>
    </row>
    <row r="212" spans="1:9" x14ac:dyDescent="0.45">
      <c r="A212" s="263" t="s">
        <v>703</v>
      </c>
      <c r="B212" s="263"/>
      <c r="C212" s="263"/>
      <c r="D212" s="263"/>
      <c r="E212" s="263"/>
      <c r="F212" s="206"/>
      <c r="G212" s="206"/>
    </row>
    <row r="213" spans="1:9" x14ac:dyDescent="0.45">
      <c r="A213" s="533" t="s">
        <v>704</v>
      </c>
      <c r="B213" s="534"/>
      <c r="C213" s="534"/>
      <c r="D213" s="534"/>
      <c r="E213" s="534"/>
      <c r="F213" s="534"/>
      <c r="G213" s="534"/>
      <c r="H213" s="534"/>
      <c r="I213" s="534"/>
    </row>
    <row r="214" spans="1:9" x14ac:dyDescent="0.45">
      <c r="A214" s="533"/>
      <c r="B214" s="534"/>
      <c r="C214" s="534"/>
      <c r="D214" s="534"/>
      <c r="E214" s="534"/>
      <c r="F214" s="534"/>
      <c r="G214" s="534"/>
      <c r="H214" s="534"/>
      <c r="I214" s="534"/>
    </row>
    <row r="215" spans="1:9" x14ac:dyDescent="0.45">
      <c r="A215" s="263"/>
      <c r="B215" s="263"/>
      <c r="C215" s="263"/>
      <c r="D215" s="263"/>
      <c r="E215" s="263"/>
      <c r="F215" s="206"/>
      <c r="G215" s="206"/>
    </row>
    <row r="216" spans="1:9" x14ac:dyDescent="0.45">
      <c r="A216" s="263"/>
      <c r="B216" s="263"/>
      <c r="C216" s="263"/>
      <c r="D216" s="263"/>
      <c r="E216" s="263"/>
      <c r="F216" s="206"/>
      <c r="G216" s="206"/>
    </row>
    <row r="217" spans="1:9" x14ac:dyDescent="0.45">
      <c r="A217" s="263" t="s">
        <v>705</v>
      </c>
      <c r="B217" s="263"/>
      <c r="C217" s="263"/>
      <c r="D217" s="263"/>
      <c r="E217" s="263"/>
      <c r="F217" s="206"/>
      <c r="G217" s="206"/>
    </row>
    <row r="218" spans="1:9" x14ac:dyDescent="0.45">
      <c r="A218" s="533" t="s">
        <v>706</v>
      </c>
      <c r="B218" s="534"/>
      <c r="C218" s="534"/>
      <c r="D218" s="534"/>
      <c r="E218" s="534"/>
      <c r="F218" s="534"/>
      <c r="G218" s="534"/>
      <c r="H218" s="534"/>
    </row>
    <row r="219" spans="1:9" x14ac:dyDescent="0.45">
      <c r="A219" s="533"/>
      <c r="B219" s="534"/>
      <c r="C219" s="534"/>
      <c r="D219" s="534"/>
      <c r="E219" s="534"/>
      <c r="F219" s="534"/>
      <c r="G219" s="534"/>
      <c r="H219" s="534"/>
    </row>
    <row r="220" spans="1:9" x14ac:dyDescent="0.45">
      <c r="A220" s="533"/>
      <c r="B220" s="534"/>
      <c r="C220" s="534"/>
      <c r="D220" s="534"/>
      <c r="E220" s="534"/>
      <c r="F220" s="534"/>
      <c r="G220" s="534"/>
      <c r="H220" s="534"/>
    </row>
    <row r="222" spans="1:9" s="33" customFormat="1" x14ac:dyDescent="0.45">
      <c r="A222" s="34">
        <v>14</v>
      </c>
    </row>
    <row r="224" spans="1:9" x14ac:dyDescent="0.45">
      <c r="A224" s="462" t="s">
        <v>707</v>
      </c>
      <c r="B224" s="462"/>
      <c r="C224" s="462"/>
      <c r="D224" s="462"/>
      <c r="E224" s="462"/>
      <c r="F224" s="462"/>
      <c r="G224" s="462"/>
    </row>
    <row r="225" spans="1:7" x14ac:dyDescent="0.45">
      <c r="A225" s="462"/>
      <c r="B225" s="462"/>
      <c r="C225" s="462"/>
      <c r="D225" s="462"/>
      <c r="E225" s="462"/>
      <c r="F225" s="462"/>
      <c r="G225" s="462"/>
    </row>
    <row r="227" spans="1:7" x14ac:dyDescent="0.45">
      <c r="A227" s="535" t="s">
        <v>708</v>
      </c>
      <c r="B227" s="535"/>
      <c r="C227" s="535"/>
      <c r="D227" s="535"/>
      <c r="E227" s="535"/>
      <c r="F227" s="535"/>
      <c r="G227" s="535"/>
    </row>
    <row r="229" spans="1:7" s="33" customFormat="1" x14ac:dyDescent="0.45">
      <c r="A229" s="34">
        <v>15</v>
      </c>
    </row>
    <row r="231" spans="1:7" x14ac:dyDescent="0.45">
      <c r="B231">
        <v>1</v>
      </c>
      <c r="C231">
        <v>2</v>
      </c>
      <c r="D231">
        <v>3</v>
      </c>
    </row>
    <row r="232" spans="1:7" x14ac:dyDescent="0.45">
      <c r="A232" t="s">
        <v>96</v>
      </c>
      <c r="B232" s="1">
        <f>G233</f>
        <v>100000</v>
      </c>
      <c r="C232" s="1">
        <f>B232*(1+$G$234)</f>
        <v>105000</v>
      </c>
      <c r="D232" s="1">
        <f>C232*(1+$G$234)</f>
        <v>110250</v>
      </c>
    </row>
    <row r="233" spans="1:7" ht="15.75" x14ac:dyDescent="0.5">
      <c r="A233" t="s">
        <v>407</v>
      </c>
      <c r="B233" s="1">
        <f>B232*$G$235</f>
        <v>50000</v>
      </c>
      <c r="C233" s="1">
        <f>C232*$G$235</f>
        <v>52500</v>
      </c>
      <c r="D233" s="1">
        <f>D232*$G$235</f>
        <v>55125</v>
      </c>
      <c r="F233" s="287" t="s">
        <v>709</v>
      </c>
      <c r="G233" s="288">
        <v>100000</v>
      </c>
    </row>
    <row r="234" spans="1:7" ht="15.75" x14ac:dyDescent="0.5">
      <c r="A234" t="s">
        <v>288</v>
      </c>
      <c r="B234" s="1">
        <f>$G$237</f>
        <v>15000</v>
      </c>
      <c r="C234" s="1">
        <f>$G$237</f>
        <v>15000</v>
      </c>
      <c r="D234" s="1">
        <f>$G$237</f>
        <v>15000</v>
      </c>
      <c r="F234" s="287" t="s">
        <v>710</v>
      </c>
      <c r="G234" s="289">
        <v>0.05</v>
      </c>
    </row>
    <row r="235" spans="1:7" ht="15.75" x14ac:dyDescent="0.5">
      <c r="A235" t="s">
        <v>413</v>
      </c>
      <c r="B235" s="1">
        <f>B232-B233-B234</f>
        <v>35000</v>
      </c>
      <c r="C235" s="1">
        <f>C232-C233-C234</f>
        <v>37500</v>
      </c>
      <c r="D235" s="1">
        <f>D232-D233-D234</f>
        <v>40125</v>
      </c>
      <c r="F235" s="287" t="s">
        <v>711</v>
      </c>
      <c r="G235" s="289">
        <v>0.5</v>
      </c>
    </row>
    <row r="236" spans="1:7" ht="15.75" x14ac:dyDescent="0.5">
      <c r="A236" t="s">
        <v>307</v>
      </c>
      <c r="B236" s="1">
        <v>0</v>
      </c>
      <c r="C236" s="1">
        <v>0</v>
      </c>
      <c r="D236" s="1">
        <v>0</v>
      </c>
      <c r="F236" s="287" t="s">
        <v>712</v>
      </c>
      <c r="G236" s="289">
        <v>0.02</v>
      </c>
    </row>
    <row r="237" spans="1:7" ht="15.75" x14ac:dyDescent="0.5">
      <c r="A237" t="s">
        <v>415</v>
      </c>
      <c r="B237" s="1">
        <f>B235-B236</f>
        <v>35000</v>
      </c>
      <c r="C237" s="1">
        <f>C235-C236</f>
        <v>37500</v>
      </c>
      <c r="D237" s="1">
        <f>D235-D236</f>
        <v>40125</v>
      </c>
      <c r="F237" s="287" t="s">
        <v>288</v>
      </c>
      <c r="G237" s="288">
        <v>15000</v>
      </c>
    </row>
    <row r="238" spans="1:7" ht="15.75" x14ac:dyDescent="0.5">
      <c r="A238" t="s">
        <v>565</v>
      </c>
      <c r="B238" s="1">
        <f>B237*$G$239</f>
        <v>8750</v>
      </c>
      <c r="C238" s="1">
        <f>C237*$G$239</f>
        <v>9375</v>
      </c>
      <c r="D238" s="1">
        <f>D237*$G$239</f>
        <v>10031.25</v>
      </c>
      <c r="F238" s="287" t="s">
        <v>713</v>
      </c>
      <c r="G238" s="288">
        <v>11000</v>
      </c>
    </row>
    <row r="239" spans="1:7" ht="15.75" x14ac:dyDescent="0.5">
      <c r="A239" t="s">
        <v>273</v>
      </c>
      <c r="B239" s="1">
        <f>B237-B238</f>
        <v>26250</v>
      </c>
      <c r="C239" s="1">
        <f>C237-C238</f>
        <v>28125</v>
      </c>
      <c r="D239" s="1">
        <f>D237-D238</f>
        <v>30093.75</v>
      </c>
      <c r="F239" s="287" t="s">
        <v>565</v>
      </c>
      <c r="G239" s="289">
        <v>0.25</v>
      </c>
    </row>
    <row r="240" spans="1:7" ht="15.75" x14ac:dyDescent="0.5">
      <c r="A240" t="s">
        <v>288</v>
      </c>
      <c r="B240" s="1">
        <f>B234</f>
        <v>15000</v>
      </c>
      <c r="C240" s="1">
        <f>C234</f>
        <v>15000</v>
      </c>
      <c r="D240" s="1">
        <f>D234</f>
        <v>15000</v>
      </c>
      <c r="F240" s="287" t="s">
        <v>381</v>
      </c>
      <c r="G240" s="289">
        <v>0.1</v>
      </c>
    </row>
    <row r="241" spans="1:6" x14ac:dyDescent="0.45">
      <c r="A241" t="s">
        <v>596</v>
      </c>
      <c r="B241" s="1">
        <v>0</v>
      </c>
      <c r="C241" s="1">
        <v>0</v>
      </c>
      <c r="D241" s="1">
        <v>0</v>
      </c>
    </row>
    <row r="242" spans="1:6" x14ac:dyDescent="0.45">
      <c r="A242" t="s">
        <v>542</v>
      </c>
      <c r="B242" s="1">
        <f>B239+B240</f>
        <v>41250</v>
      </c>
      <c r="C242" s="1">
        <f>C239+C240</f>
        <v>43125</v>
      </c>
      <c r="D242" s="1">
        <f>D239+D240</f>
        <v>45093.75</v>
      </c>
    </row>
    <row r="243" spans="1:6" x14ac:dyDescent="0.45">
      <c r="A243" s="213" t="s">
        <v>600</v>
      </c>
      <c r="B243" s="1"/>
      <c r="C243" s="1"/>
      <c r="D243" s="1">
        <f>D242*(1+G236)/(G240-G236)</f>
        <v>574945.3125</v>
      </c>
    </row>
    <row r="244" spans="1:6" x14ac:dyDescent="0.45">
      <c r="A244" s="213" t="s">
        <v>714</v>
      </c>
      <c r="B244" s="1">
        <f>B242/(1+$G$240)^B231</f>
        <v>37500</v>
      </c>
      <c r="C244" s="1">
        <f>C242/(1+$G$240)^C231</f>
        <v>35640.495867768586</v>
      </c>
      <c r="D244" s="1">
        <f>(D242+D243)/(1+$G$240)^D231</f>
        <v>465844.52479338826</v>
      </c>
    </row>
    <row r="245" spans="1:6" x14ac:dyDescent="0.45">
      <c r="A245" s="213"/>
      <c r="B245" s="213"/>
      <c r="C245" s="213"/>
      <c r="D245" s="213"/>
    </row>
    <row r="246" spans="1:6" x14ac:dyDescent="0.45">
      <c r="A246" s="213" t="s">
        <v>715</v>
      </c>
      <c r="B246" s="328">
        <f>B244+C244+D244</f>
        <v>538985.02066115686</v>
      </c>
      <c r="C246" s="213"/>
      <c r="D246" s="213"/>
      <c r="E246" s="213"/>
    </row>
    <row r="248" spans="1:6" s="33" customFormat="1" x14ac:dyDescent="0.45">
      <c r="A248" s="34">
        <v>16</v>
      </c>
    </row>
    <row r="250" spans="1:6" ht="14.25" customHeight="1" x14ac:dyDescent="0.45">
      <c r="A250" s="462" t="s">
        <v>716</v>
      </c>
      <c r="B250" s="462"/>
      <c r="C250" s="462"/>
      <c r="D250" s="462"/>
      <c r="E250" s="462"/>
      <c r="F250" s="462"/>
    </row>
    <row r="251" spans="1:6" x14ac:dyDescent="0.45">
      <c r="A251" s="462"/>
      <c r="B251" s="462"/>
      <c r="C251" s="462"/>
      <c r="D251" s="462"/>
      <c r="E251" s="462"/>
      <c r="F251" s="462"/>
    </row>
    <row r="252" spans="1:6" x14ac:dyDescent="0.45">
      <c r="A252" s="462"/>
      <c r="B252" s="462"/>
      <c r="C252" s="462"/>
      <c r="D252" s="462"/>
      <c r="E252" s="462"/>
      <c r="F252" s="462"/>
    </row>
    <row r="254" spans="1:6" ht="14.25" customHeight="1" x14ac:dyDescent="0.45">
      <c r="A254" s="462" t="s">
        <v>717</v>
      </c>
      <c r="B254" s="462"/>
      <c r="C254" s="462"/>
      <c r="D254" s="462"/>
      <c r="E254" s="462"/>
      <c r="F254" s="462"/>
    </row>
    <row r="255" spans="1:6" x14ac:dyDescent="0.45">
      <c r="A255" s="462"/>
      <c r="B255" s="462"/>
      <c r="C255" s="462"/>
      <c r="D255" s="462"/>
      <c r="E255" s="462"/>
      <c r="F255" s="462"/>
    </row>
    <row r="256" spans="1:6" x14ac:dyDescent="0.45">
      <c r="A256" s="462"/>
      <c r="B256" s="462"/>
      <c r="C256" s="462"/>
      <c r="D256" s="462"/>
      <c r="E256" s="462"/>
      <c r="F256" s="462"/>
    </row>
    <row r="257" spans="1:7" x14ac:dyDescent="0.45">
      <c r="A257" s="462"/>
      <c r="B257" s="462"/>
      <c r="C257" s="462"/>
      <c r="D257" s="462"/>
      <c r="E257" s="462"/>
      <c r="F257" s="462"/>
    </row>
    <row r="259" spans="1:7" ht="14.25" customHeight="1" x14ac:dyDescent="0.45">
      <c r="A259" s="462" t="s">
        <v>718</v>
      </c>
      <c r="B259" s="462"/>
      <c r="C259" s="462"/>
      <c r="D259" s="462"/>
      <c r="E259" s="462"/>
      <c r="F259" s="462"/>
    </row>
    <row r="260" spans="1:7" x14ac:dyDescent="0.45">
      <c r="A260" s="462"/>
      <c r="B260" s="462"/>
      <c r="C260" s="462"/>
      <c r="D260" s="462"/>
      <c r="E260" s="462"/>
      <c r="F260" s="462"/>
    </row>
    <row r="261" spans="1:7" x14ac:dyDescent="0.45">
      <c r="A261" s="462"/>
      <c r="B261" s="462"/>
      <c r="C261" s="462"/>
      <c r="D261" s="462"/>
      <c r="E261" s="462"/>
      <c r="F261" s="462"/>
    </row>
    <row r="262" spans="1:7" ht="14.25" customHeight="1" x14ac:dyDescent="0.45">
      <c r="A262" s="462" t="s">
        <v>719</v>
      </c>
      <c r="B262" s="462"/>
      <c r="C262" s="462"/>
      <c r="D262" s="462"/>
      <c r="E262" s="462"/>
      <c r="F262" s="462"/>
    </row>
    <row r="263" spans="1:7" x14ac:dyDescent="0.45">
      <c r="A263" s="462"/>
      <c r="B263" s="462"/>
      <c r="C263" s="462"/>
      <c r="D263" s="462"/>
      <c r="E263" s="462"/>
      <c r="F263" s="462"/>
    </row>
    <row r="265" spans="1:7" ht="14.25" customHeight="1" x14ac:dyDescent="0.45">
      <c r="A265" s="462" t="s">
        <v>720</v>
      </c>
      <c r="B265" s="462"/>
      <c r="C265" s="462"/>
      <c r="D265" s="462"/>
      <c r="E265" s="462"/>
      <c r="F265" s="462"/>
    </row>
    <row r="266" spans="1:7" x14ac:dyDescent="0.45">
      <c r="A266" s="462"/>
      <c r="B266" s="462"/>
      <c r="C266" s="462"/>
      <c r="D266" s="462"/>
      <c r="E266" s="462"/>
      <c r="F266" s="462"/>
    </row>
    <row r="267" spans="1:7" x14ac:dyDescent="0.45">
      <c r="A267" s="462"/>
      <c r="B267" s="462"/>
      <c r="C267" s="462"/>
      <c r="D267" s="462"/>
      <c r="E267" s="462"/>
      <c r="F267" s="462"/>
    </row>
    <row r="269" spans="1:7" s="33" customFormat="1" x14ac:dyDescent="0.45">
      <c r="A269" s="34">
        <v>17</v>
      </c>
    </row>
    <row r="271" spans="1:7" ht="14.65" thickBot="1" x14ac:dyDescent="0.5">
      <c r="A271" s="17" t="s">
        <v>392</v>
      </c>
      <c r="B271" s="17">
        <v>1</v>
      </c>
      <c r="C271" s="17">
        <v>2</v>
      </c>
      <c r="D271" s="17">
        <v>3</v>
      </c>
    </row>
    <row r="272" spans="1:7" ht="15.75" x14ac:dyDescent="0.5">
      <c r="A272" s="17" t="s">
        <v>96</v>
      </c>
      <c r="B272" s="334">
        <f>G274</f>
        <v>250000</v>
      </c>
      <c r="C272" s="334">
        <f>B272*(1+G275)</f>
        <v>267500</v>
      </c>
      <c r="D272" s="334">
        <f>C272*(1+G276)</f>
        <v>286225</v>
      </c>
      <c r="F272" s="335" t="s">
        <v>381</v>
      </c>
      <c r="G272" s="336">
        <v>0.1</v>
      </c>
    </row>
    <row r="273" spans="1:7" ht="15.75" x14ac:dyDescent="0.5">
      <c r="A273" s="17" t="s">
        <v>407</v>
      </c>
      <c r="B273" s="334">
        <f>B272*$G$277</f>
        <v>162500</v>
      </c>
      <c r="C273" s="334">
        <f t="shared" ref="C273:D273" si="2">C272*$G$277</f>
        <v>173875</v>
      </c>
      <c r="D273" s="334">
        <f t="shared" si="2"/>
        <v>186046.25</v>
      </c>
      <c r="F273" s="337" t="s">
        <v>806</v>
      </c>
      <c r="G273" s="338">
        <v>0.02</v>
      </c>
    </row>
    <row r="274" spans="1:7" ht="15.75" x14ac:dyDescent="0.5">
      <c r="A274" s="17" t="s">
        <v>802</v>
      </c>
      <c r="B274" s="334">
        <f>$G$279</f>
        <v>35000</v>
      </c>
      <c r="C274" s="334">
        <f t="shared" ref="C274:D274" si="3">$G$279</f>
        <v>35000</v>
      </c>
      <c r="D274" s="334">
        <f t="shared" si="3"/>
        <v>35000</v>
      </c>
      <c r="F274" s="337" t="s">
        <v>709</v>
      </c>
      <c r="G274" s="339">
        <v>250000</v>
      </c>
    </row>
    <row r="275" spans="1:7" ht="15.75" x14ac:dyDescent="0.5">
      <c r="A275" s="17" t="s">
        <v>413</v>
      </c>
      <c r="B275" s="334">
        <f>B273-B274</f>
        <v>127500</v>
      </c>
      <c r="C275" s="334">
        <f t="shared" ref="C275:D275" si="4">C273-C274</f>
        <v>138875</v>
      </c>
      <c r="D275" s="334">
        <f t="shared" si="4"/>
        <v>151046.25</v>
      </c>
      <c r="F275" s="337" t="s">
        <v>807</v>
      </c>
      <c r="G275" s="338">
        <v>7.0000000000000007E-2</v>
      </c>
    </row>
    <row r="276" spans="1:7" ht="15.75" x14ac:dyDescent="0.5">
      <c r="A276" s="17" t="s">
        <v>803</v>
      </c>
      <c r="B276" s="334">
        <v>0</v>
      </c>
      <c r="C276" s="334">
        <v>0</v>
      </c>
      <c r="D276" s="334">
        <v>0</v>
      </c>
      <c r="F276" s="337" t="s">
        <v>808</v>
      </c>
      <c r="G276" s="338">
        <v>7.0000000000000007E-2</v>
      </c>
    </row>
    <row r="277" spans="1:7" ht="15.75" x14ac:dyDescent="0.5">
      <c r="A277" s="17" t="s">
        <v>415</v>
      </c>
      <c r="B277" s="334">
        <f>B275-B276</f>
        <v>127500</v>
      </c>
      <c r="C277" s="334">
        <f t="shared" ref="C277:D277" si="5">C275-C276</f>
        <v>138875</v>
      </c>
      <c r="D277" s="334">
        <f t="shared" si="5"/>
        <v>151046.25</v>
      </c>
      <c r="F277" s="337" t="s">
        <v>711</v>
      </c>
      <c r="G277" s="338">
        <v>0.65</v>
      </c>
    </row>
    <row r="278" spans="1:7" ht="15.75" x14ac:dyDescent="0.5">
      <c r="A278" s="17" t="s">
        <v>565</v>
      </c>
      <c r="B278" s="334">
        <f>B277*$G$282</f>
        <v>38250</v>
      </c>
      <c r="C278" s="334">
        <f t="shared" ref="C278:D278" si="6">C277*$G$282</f>
        <v>41662.5</v>
      </c>
      <c r="D278" s="334">
        <f t="shared" si="6"/>
        <v>45313.875</v>
      </c>
      <c r="F278" s="337" t="s">
        <v>809</v>
      </c>
      <c r="G278" s="339">
        <v>30000</v>
      </c>
    </row>
    <row r="279" spans="1:7" ht="31.5" x14ac:dyDescent="0.5">
      <c r="A279" s="17" t="s">
        <v>824</v>
      </c>
      <c r="B279" s="334">
        <f>B277-B278</f>
        <v>89250</v>
      </c>
      <c r="C279" s="334">
        <f t="shared" ref="C279:D279" si="7">C277-C278</f>
        <v>97212.5</v>
      </c>
      <c r="D279" s="334">
        <f t="shared" si="7"/>
        <v>105732.375</v>
      </c>
      <c r="F279" s="340" t="s">
        <v>810</v>
      </c>
      <c r="G279" s="339">
        <v>35000</v>
      </c>
    </row>
    <row r="280" spans="1:7" ht="15.75" x14ac:dyDescent="0.5">
      <c r="A280" s="17" t="s">
        <v>804</v>
      </c>
      <c r="B280" s="334">
        <f>$G$278</f>
        <v>30000</v>
      </c>
      <c r="C280" s="334">
        <f t="shared" ref="C280:D280" si="8">$G$278</f>
        <v>30000</v>
      </c>
      <c r="D280" s="334">
        <f t="shared" si="8"/>
        <v>30000</v>
      </c>
      <c r="F280" s="340" t="s">
        <v>811</v>
      </c>
      <c r="G280" s="339">
        <v>10000</v>
      </c>
    </row>
    <row r="281" spans="1:7" ht="15.75" x14ac:dyDescent="0.5">
      <c r="A281" s="17" t="s">
        <v>805</v>
      </c>
      <c r="B281" s="334">
        <f>G280</f>
        <v>10000</v>
      </c>
      <c r="C281" s="334">
        <f>G281</f>
        <v>1000</v>
      </c>
      <c r="D281" s="334">
        <f>G281</f>
        <v>1000</v>
      </c>
      <c r="F281" s="340" t="s">
        <v>812</v>
      </c>
      <c r="G281" s="339">
        <v>1000</v>
      </c>
    </row>
    <row r="282" spans="1:7" ht="15.75" x14ac:dyDescent="0.5">
      <c r="A282" s="17" t="s">
        <v>802</v>
      </c>
      <c r="B282" s="334">
        <f>B274</f>
        <v>35000</v>
      </c>
      <c r="C282" s="334">
        <f t="shared" ref="C282:D282" si="9">C274</f>
        <v>35000</v>
      </c>
      <c r="D282" s="334">
        <f t="shared" si="9"/>
        <v>35000</v>
      </c>
      <c r="F282" s="340" t="s">
        <v>527</v>
      </c>
      <c r="G282" s="338">
        <v>0.3</v>
      </c>
    </row>
    <row r="283" spans="1:7" ht="15.75" x14ac:dyDescent="0.5">
      <c r="A283" s="17" t="s">
        <v>542</v>
      </c>
      <c r="B283" s="334">
        <f>B279-B280-B281+B282</f>
        <v>84250</v>
      </c>
      <c r="C283" s="334">
        <f t="shared" ref="C283:D283" si="10">C279-C280-C281+C282</f>
        <v>101212.5</v>
      </c>
      <c r="D283" s="334">
        <f t="shared" si="10"/>
        <v>109732.375</v>
      </c>
      <c r="F283" s="341" t="s">
        <v>813</v>
      </c>
      <c r="G283" s="342">
        <v>20000</v>
      </c>
    </row>
    <row r="284" spans="1:7" x14ac:dyDescent="0.45">
      <c r="A284" s="17" t="s">
        <v>600</v>
      </c>
      <c r="B284" s="334"/>
      <c r="C284" s="334"/>
      <c r="D284" s="334">
        <f>D283*(1+G273)/(G272-G273)</f>
        <v>1399087.78125</v>
      </c>
    </row>
    <row r="285" spans="1:7" x14ac:dyDescent="0.45">
      <c r="A285" s="17" t="s">
        <v>814</v>
      </c>
      <c r="B285" s="334">
        <f>B283+B284</f>
        <v>84250</v>
      </c>
      <c r="C285" s="334">
        <f t="shared" ref="C285" si="11">C283+C284</f>
        <v>101212.5</v>
      </c>
      <c r="D285" s="334">
        <f>D283+D284</f>
        <v>1508820.15625</v>
      </c>
    </row>
    <row r="286" spans="1:7" x14ac:dyDescent="0.45">
      <c r="A286" s="17" t="s">
        <v>636</v>
      </c>
      <c r="B286" s="334">
        <f>B285/(1+$G$272)^B271</f>
        <v>76590.909090909088</v>
      </c>
      <c r="C286" s="334">
        <f t="shared" ref="C286" si="12">C285/(1+$G$272)^C271</f>
        <v>83646.694214876014</v>
      </c>
      <c r="D286" s="334">
        <f>D285/(1+$G$272)^D271</f>
        <v>1133598.9152892558</v>
      </c>
    </row>
    <row r="287" spans="1:7" x14ac:dyDescent="0.45">
      <c r="B287" s="334"/>
      <c r="C287" s="334"/>
      <c r="D287" s="334"/>
    </row>
    <row r="288" spans="1:7" x14ac:dyDescent="0.45">
      <c r="B288" s="334"/>
      <c r="C288" s="334"/>
      <c r="D288" s="334"/>
    </row>
    <row r="289" spans="1:7" x14ac:dyDescent="0.45">
      <c r="A289" s="17" t="s">
        <v>815</v>
      </c>
      <c r="B289" s="343">
        <f>SUM(B286:D286)</f>
        <v>1293836.5185950408</v>
      </c>
      <c r="C289" s="334"/>
      <c r="D289" s="334"/>
    </row>
    <row r="291" spans="1:7" s="33" customFormat="1" x14ac:dyDescent="0.45">
      <c r="A291" s="34">
        <v>18</v>
      </c>
    </row>
    <row r="292" spans="1:7" ht="14.65" thickBot="1" x14ac:dyDescent="0.5"/>
    <row r="293" spans="1:7" x14ac:dyDescent="0.45">
      <c r="A293" s="17" t="s">
        <v>392</v>
      </c>
      <c r="B293" s="17">
        <v>1</v>
      </c>
      <c r="C293" s="17">
        <v>2</v>
      </c>
      <c r="D293" s="17">
        <v>3</v>
      </c>
      <c r="F293" s="344" t="s">
        <v>816</v>
      </c>
      <c r="G293" s="345"/>
    </row>
    <row r="294" spans="1:7" x14ac:dyDescent="0.45">
      <c r="A294" s="17" t="s">
        <v>96</v>
      </c>
      <c r="B294" s="334">
        <f>G297</f>
        <v>80000</v>
      </c>
      <c r="C294" s="334">
        <f>B294*(1+G298)</f>
        <v>84000</v>
      </c>
      <c r="D294" s="334">
        <f>C294*(1+G298)</f>
        <v>88200</v>
      </c>
      <c r="F294" s="346" t="s">
        <v>381</v>
      </c>
      <c r="G294" s="347">
        <v>0.12</v>
      </c>
    </row>
    <row r="295" spans="1:7" x14ac:dyDescent="0.45">
      <c r="A295" s="17" t="s">
        <v>407</v>
      </c>
      <c r="B295" s="334">
        <f>B294*$G$299</f>
        <v>36000</v>
      </c>
      <c r="C295" s="334">
        <f t="shared" ref="C295:D295" si="13">C294*$G$299</f>
        <v>37800</v>
      </c>
      <c r="D295" s="334">
        <f t="shared" si="13"/>
        <v>39690</v>
      </c>
      <c r="F295" s="346" t="s">
        <v>806</v>
      </c>
      <c r="G295" s="347">
        <v>0.02</v>
      </c>
    </row>
    <row r="296" spans="1:7" x14ac:dyDescent="0.45">
      <c r="A296" s="17" t="s">
        <v>802</v>
      </c>
      <c r="B296" s="334">
        <f>$G$300</f>
        <v>10000</v>
      </c>
      <c r="C296" s="334">
        <f t="shared" ref="C296:D296" si="14">$G$300</f>
        <v>10000</v>
      </c>
      <c r="D296" s="334">
        <f t="shared" si="14"/>
        <v>10000</v>
      </c>
      <c r="F296" s="346" t="s">
        <v>456</v>
      </c>
      <c r="G296" s="347">
        <v>0.3</v>
      </c>
    </row>
    <row r="297" spans="1:7" x14ac:dyDescent="0.45">
      <c r="A297" s="17" t="s">
        <v>413</v>
      </c>
      <c r="B297" s="334">
        <f>B295-B296</f>
        <v>26000</v>
      </c>
      <c r="C297" s="334">
        <f t="shared" ref="C297" si="15">C295-C296</f>
        <v>27800</v>
      </c>
      <c r="D297" s="334">
        <f t="shared" ref="D297" si="16">D295-D296</f>
        <v>29690</v>
      </c>
      <c r="F297" s="346" t="s">
        <v>709</v>
      </c>
      <c r="G297" s="348">
        <v>80000</v>
      </c>
    </row>
    <row r="298" spans="1:7" x14ac:dyDescent="0.45">
      <c r="A298" s="17" t="s">
        <v>803</v>
      </c>
      <c r="B298" s="334">
        <v>0</v>
      </c>
      <c r="C298" s="334">
        <v>0</v>
      </c>
      <c r="D298" s="334">
        <v>0</v>
      </c>
      <c r="F298" s="346" t="s">
        <v>817</v>
      </c>
      <c r="G298" s="349">
        <v>0.05</v>
      </c>
    </row>
    <row r="299" spans="1:7" x14ac:dyDescent="0.45">
      <c r="A299" s="17" t="s">
        <v>415</v>
      </c>
      <c r="B299" s="334">
        <f>B297-B298</f>
        <v>26000</v>
      </c>
      <c r="C299" s="334">
        <f t="shared" ref="C299" si="17">C297-C298</f>
        <v>27800</v>
      </c>
      <c r="D299" s="334">
        <f t="shared" ref="D299" si="18">D297-D298</f>
        <v>29690</v>
      </c>
      <c r="F299" s="346" t="s">
        <v>818</v>
      </c>
      <c r="G299" s="347">
        <v>0.45</v>
      </c>
    </row>
    <row r="300" spans="1:7" x14ac:dyDescent="0.45">
      <c r="A300" s="17" t="s">
        <v>565</v>
      </c>
      <c r="B300" s="334">
        <f>B299*$G$296</f>
        <v>7800</v>
      </c>
      <c r="C300" s="334">
        <f t="shared" ref="C300:D300" si="19">C299*$G$296</f>
        <v>8340</v>
      </c>
      <c r="D300" s="334">
        <f t="shared" si="19"/>
        <v>8907</v>
      </c>
      <c r="F300" s="346" t="s">
        <v>819</v>
      </c>
      <c r="G300" s="348">
        <v>10000</v>
      </c>
    </row>
    <row r="301" spans="1:7" x14ac:dyDescent="0.45">
      <c r="A301" s="17" t="s">
        <v>824</v>
      </c>
      <c r="B301" s="334">
        <f>B299-B300</f>
        <v>18200</v>
      </c>
      <c r="C301" s="334">
        <f t="shared" ref="C301" si="20">C299-C300</f>
        <v>19460</v>
      </c>
      <c r="D301" s="334">
        <f t="shared" ref="D301" si="21">D299-D300</f>
        <v>20783</v>
      </c>
      <c r="F301" s="346" t="s">
        <v>820</v>
      </c>
      <c r="G301" s="348">
        <v>5000</v>
      </c>
    </row>
    <row r="302" spans="1:7" x14ac:dyDescent="0.45">
      <c r="A302" s="17" t="s">
        <v>804</v>
      </c>
      <c r="B302" s="334">
        <f>$G$302</f>
        <v>11000</v>
      </c>
      <c r="C302" s="334">
        <f t="shared" ref="C302:D302" si="22">$G$302</f>
        <v>11000</v>
      </c>
      <c r="D302" s="334">
        <f t="shared" si="22"/>
        <v>11000</v>
      </c>
      <c r="F302" s="346" t="s">
        <v>821</v>
      </c>
      <c r="G302" s="348">
        <v>11000</v>
      </c>
    </row>
    <row r="303" spans="1:7" x14ac:dyDescent="0.45">
      <c r="A303" s="17" t="s">
        <v>805</v>
      </c>
      <c r="B303" s="334">
        <f>G303</f>
        <v>500</v>
      </c>
      <c r="C303" s="334">
        <f>G303</f>
        <v>500</v>
      </c>
      <c r="D303" s="334">
        <f>G303</f>
        <v>500</v>
      </c>
      <c r="F303" s="350" t="s">
        <v>822</v>
      </c>
      <c r="G303" s="351">
        <v>500</v>
      </c>
    </row>
    <row r="304" spans="1:7" x14ac:dyDescent="0.45">
      <c r="A304" s="17" t="s">
        <v>802</v>
      </c>
      <c r="B304" s="334">
        <f>B296</f>
        <v>10000</v>
      </c>
      <c r="C304" s="334">
        <f t="shared" ref="C304:D304" si="23">C296</f>
        <v>10000</v>
      </c>
      <c r="D304" s="334">
        <f t="shared" si="23"/>
        <v>10000</v>
      </c>
      <c r="F304" s="346" t="s">
        <v>371</v>
      </c>
      <c r="G304" s="347">
        <v>0.15</v>
      </c>
    </row>
    <row r="305" spans="1:7" ht="14.65" thickBot="1" x14ac:dyDescent="0.5">
      <c r="A305" s="17" t="s">
        <v>542</v>
      </c>
      <c r="B305" s="334">
        <f>B301-B302-B303+B304</f>
        <v>16700</v>
      </c>
      <c r="C305" s="334">
        <f t="shared" ref="C305" si="24">C301-C302-C303+C304</f>
        <v>17960</v>
      </c>
      <c r="D305" s="334">
        <f t="shared" ref="D305" si="25">D301-D302-D303+D304</f>
        <v>19283</v>
      </c>
      <c r="F305" s="352" t="s">
        <v>823</v>
      </c>
      <c r="G305" s="353">
        <v>0.8</v>
      </c>
    </row>
    <row r="306" spans="1:7" x14ac:dyDescent="0.45">
      <c r="A306" s="17" t="s">
        <v>600</v>
      </c>
      <c r="B306" s="334"/>
      <c r="C306" s="334"/>
      <c r="D306" s="334">
        <f>D305*(1+G295)/(G294-G295)</f>
        <v>196686.6</v>
      </c>
    </row>
    <row r="307" spans="1:7" x14ac:dyDescent="0.45">
      <c r="A307" s="17" t="s">
        <v>814</v>
      </c>
      <c r="B307" s="334">
        <f>B305+B306</f>
        <v>16700</v>
      </c>
      <c r="C307" s="334">
        <f t="shared" ref="C307" si="26">C305+C306</f>
        <v>17960</v>
      </c>
      <c r="D307" s="334">
        <f t="shared" ref="D307" si="27">D305+D306</f>
        <v>215969.6</v>
      </c>
    </row>
    <row r="308" spans="1:7" x14ac:dyDescent="0.45">
      <c r="A308" s="17" t="s">
        <v>636</v>
      </c>
      <c r="B308" s="334">
        <f>B307/(1+$G$294)^B293</f>
        <v>14910.714285714284</v>
      </c>
      <c r="C308" s="334">
        <f t="shared" ref="C308:D308" si="28">C307/(1+$G$294)^C293</f>
        <v>14317.602040816324</v>
      </c>
      <c r="D308" s="334">
        <f t="shared" si="28"/>
        <v>153722.89540816323</v>
      </c>
    </row>
    <row r="311" spans="1:7" x14ac:dyDescent="0.45">
      <c r="A311" s="17" t="s">
        <v>815</v>
      </c>
      <c r="B311" s="343">
        <f>SUM(B308:D308)</f>
        <v>182951.21173469385</v>
      </c>
    </row>
    <row r="314" spans="1:7" s="33" customFormat="1" x14ac:dyDescent="0.45">
      <c r="A314" s="34">
        <v>19</v>
      </c>
    </row>
    <row r="315" spans="1:7" ht="14.65" thickBot="1" x14ac:dyDescent="0.5"/>
    <row r="316" spans="1:7" x14ac:dyDescent="0.45">
      <c r="A316" s="17" t="s">
        <v>392</v>
      </c>
      <c r="B316" s="17">
        <v>1</v>
      </c>
      <c r="C316" s="17">
        <v>2</v>
      </c>
      <c r="D316" s="17">
        <v>3</v>
      </c>
      <c r="F316" s="400" t="s">
        <v>900</v>
      </c>
      <c r="G316" s="410"/>
    </row>
    <row r="317" spans="1:7" x14ac:dyDescent="0.45">
      <c r="A317" s="17" t="s">
        <v>96</v>
      </c>
      <c r="B317" s="334">
        <f>G320</f>
        <v>100000</v>
      </c>
      <c r="C317" s="334">
        <f>B317*(1+$G$322)</f>
        <v>110000.00000000001</v>
      </c>
      <c r="D317" s="334">
        <f>C317*(1+$G$322)</f>
        <v>121000.00000000003</v>
      </c>
      <c r="F317" s="30" t="s">
        <v>381</v>
      </c>
      <c r="G317" s="411">
        <v>0.08</v>
      </c>
    </row>
    <row r="318" spans="1:7" x14ac:dyDescent="0.45">
      <c r="A318" s="17" t="s">
        <v>407</v>
      </c>
      <c r="B318" s="334">
        <f>B317*$G$323</f>
        <v>55000.000000000007</v>
      </c>
      <c r="C318" s="334">
        <f>C317*$G$323</f>
        <v>60500.000000000015</v>
      </c>
      <c r="D318" s="334">
        <f>D317*$G$323</f>
        <v>66550.000000000015</v>
      </c>
      <c r="F318" s="30" t="s">
        <v>806</v>
      </c>
      <c r="G318" s="411">
        <v>0.03</v>
      </c>
    </row>
    <row r="319" spans="1:7" x14ac:dyDescent="0.45">
      <c r="A319" s="17" t="s">
        <v>802</v>
      </c>
      <c r="B319" s="334">
        <f>$G$325</f>
        <v>11000</v>
      </c>
      <c r="C319" s="334">
        <f t="shared" ref="C319:D319" si="29">$G$325</f>
        <v>11000</v>
      </c>
      <c r="D319" s="334">
        <f t="shared" si="29"/>
        <v>11000</v>
      </c>
      <c r="F319" s="30" t="s">
        <v>901</v>
      </c>
      <c r="G319" s="411">
        <v>0.24</v>
      </c>
    </row>
    <row r="320" spans="1:7" x14ac:dyDescent="0.45">
      <c r="A320" s="17" t="s">
        <v>413</v>
      </c>
      <c r="B320" s="334">
        <f>B318-B319</f>
        <v>44000.000000000007</v>
      </c>
      <c r="C320" s="334">
        <f t="shared" ref="C320:D320" si="30">C318-C319</f>
        <v>49500.000000000015</v>
      </c>
      <c r="D320" s="334">
        <f t="shared" si="30"/>
        <v>55550.000000000015</v>
      </c>
      <c r="F320" s="30" t="s">
        <v>709</v>
      </c>
      <c r="G320" s="412">
        <v>100000</v>
      </c>
    </row>
    <row r="321" spans="1:7" x14ac:dyDescent="0.45">
      <c r="A321" s="17" t="s">
        <v>803</v>
      </c>
      <c r="B321" s="334">
        <v>0</v>
      </c>
      <c r="C321" s="334">
        <v>0</v>
      </c>
      <c r="D321" s="334">
        <v>0</v>
      </c>
      <c r="F321" s="30" t="s">
        <v>373</v>
      </c>
      <c r="G321" s="413">
        <v>0.06</v>
      </c>
    </row>
    <row r="322" spans="1:7" x14ac:dyDescent="0.45">
      <c r="A322" s="17" t="s">
        <v>415</v>
      </c>
      <c r="B322" s="334">
        <f>B320-B321</f>
        <v>44000.000000000007</v>
      </c>
      <c r="C322" s="334">
        <f t="shared" ref="C322:D322" si="31">C320-C321</f>
        <v>49500.000000000015</v>
      </c>
      <c r="D322" s="334">
        <f t="shared" si="31"/>
        <v>55550.000000000015</v>
      </c>
      <c r="F322" s="30" t="s">
        <v>817</v>
      </c>
      <c r="G322" s="413">
        <v>0.1</v>
      </c>
    </row>
    <row r="323" spans="1:7" x14ac:dyDescent="0.45">
      <c r="A323" s="17" t="s">
        <v>565</v>
      </c>
      <c r="B323" s="334">
        <f>B322*$G$319</f>
        <v>10560.000000000002</v>
      </c>
      <c r="C323" s="334">
        <f t="shared" ref="C323:D323" si="32">C322*$G$319</f>
        <v>11880.000000000004</v>
      </c>
      <c r="D323" s="334">
        <f t="shared" si="32"/>
        <v>13332.000000000004</v>
      </c>
      <c r="F323" s="30" t="s">
        <v>818</v>
      </c>
      <c r="G323" s="411">
        <v>0.55000000000000004</v>
      </c>
    </row>
    <row r="324" spans="1:7" x14ac:dyDescent="0.45">
      <c r="A324" s="17" t="s">
        <v>824</v>
      </c>
      <c r="B324" s="334">
        <f>B322-B323</f>
        <v>33440.000000000007</v>
      </c>
      <c r="C324" s="334">
        <f t="shared" ref="C324:D324" si="33">C322-C323</f>
        <v>37620.000000000015</v>
      </c>
      <c r="D324" s="334">
        <f t="shared" si="33"/>
        <v>42218.000000000015</v>
      </c>
      <c r="F324" s="30" t="s">
        <v>77</v>
      </c>
      <c r="G324" s="414">
        <v>3</v>
      </c>
    </row>
    <row r="325" spans="1:7" x14ac:dyDescent="0.45">
      <c r="A325" s="17" t="s">
        <v>804</v>
      </c>
      <c r="B325" s="334">
        <f>$G$327</f>
        <v>12000</v>
      </c>
      <c r="C325" s="334">
        <f t="shared" ref="C325:D325" si="34">$G$327</f>
        <v>12000</v>
      </c>
      <c r="D325" s="334">
        <f t="shared" si="34"/>
        <v>12000</v>
      </c>
      <c r="F325" s="30" t="s">
        <v>819</v>
      </c>
      <c r="G325" s="412">
        <v>11000</v>
      </c>
    </row>
    <row r="326" spans="1:7" x14ac:dyDescent="0.45">
      <c r="A326" s="17" t="s">
        <v>805</v>
      </c>
      <c r="B326" s="334">
        <f>$G$328</f>
        <v>600</v>
      </c>
      <c r="C326" s="334">
        <f t="shared" ref="C326:D326" si="35">$G$328</f>
        <v>600</v>
      </c>
      <c r="D326" s="334">
        <f t="shared" si="35"/>
        <v>600</v>
      </c>
      <c r="F326" s="30" t="s">
        <v>820</v>
      </c>
      <c r="G326" s="412">
        <v>6000</v>
      </c>
    </row>
    <row r="327" spans="1:7" x14ac:dyDescent="0.45">
      <c r="A327" s="17" t="s">
        <v>802</v>
      </c>
      <c r="B327" s="334">
        <f>B319</f>
        <v>11000</v>
      </c>
      <c r="C327" s="334">
        <f t="shared" ref="C327:D327" si="36">C319</f>
        <v>11000</v>
      </c>
      <c r="D327" s="334">
        <f t="shared" si="36"/>
        <v>11000</v>
      </c>
      <c r="F327" s="30" t="s">
        <v>821</v>
      </c>
      <c r="G327" s="412">
        <v>12000</v>
      </c>
    </row>
    <row r="328" spans="1:7" x14ac:dyDescent="0.45">
      <c r="A328" s="17" t="s">
        <v>542</v>
      </c>
      <c r="B328" s="334">
        <f>B324-B325-B326+B327</f>
        <v>31840.000000000007</v>
      </c>
      <c r="C328" s="334">
        <f t="shared" ref="C328:D328" si="37">C324-C325-C326+C327</f>
        <v>36020.000000000015</v>
      </c>
      <c r="D328" s="334">
        <f t="shared" si="37"/>
        <v>40618.000000000015</v>
      </c>
      <c r="F328" s="415" t="s">
        <v>822</v>
      </c>
      <c r="G328" s="416">
        <v>600</v>
      </c>
    </row>
    <row r="329" spans="1:7" x14ac:dyDescent="0.45">
      <c r="A329" s="17" t="s">
        <v>600</v>
      </c>
      <c r="B329" s="334"/>
      <c r="C329" s="334"/>
      <c r="D329" s="334">
        <f>D328*(1+G318)/(G317-G318)</f>
        <v>836730.80000000028</v>
      </c>
      <c r="F329" s="30" t="s">
        <v>371</v>
      </c>
      <c r="G329" s="411">
        <v>0.13</v>
      </c>
    </row>
    <row r="330" spans="1:7" ht="14.65" thickBot="1" x14ac:dyDescent="0.5">
      <c r="A330" s="17" t="s">
        <v>814</v>
      </c>
      <c r="B330" s="334">
        <f>B328+B329</f>
        <v>31840.000000000007</v>
      </c>
      <c r="C330" s="334">
        <f t="shared" ref="C330:D330" si="38">C328+C329</f>
        <v>36020.000000000015</v>
      </c>
      <c r="D330" s="334">
        <f t="shared" si="38"/>
        <v>877348.80000000028</v>
      </c>
      <c r="F330" s="417" t="s">
        <v>823</v>
      </c>
      <c r="G330" s="418">
        <v>0.8</v>
      </c>
    </row>
    <row r="331" spans="1:7" x14ac:dyDescent="0.45">
      <c r="A331" s="17" t="s">
        <v>636</v>
      </c>
      <c r="B331" s="334">
        <f>B330/(1+$G$317)^B316</f>
        <v>29481.481481481485</v>
      </c>
      <c r="C331" s="334">
        <f t="shared" ref="C331:D331" si="39">C330/(1+$G$317)^C316</f>
        <v>30881.344307270243</v>
      </c>
      <c r="D331" s="334">
        <f t="shared" si="39"/>
        <v>696467.76406035677</v>
      </c>
    </row>
    <row r="334" spans="1:7" x14ac:dyDescent="0.45">
      <c r="A334" s="17" t="s">
        <v>815</v>
      </c>
      <c r="B334" s="343">
        <f>SUM(B331:D331)</f>
        <v>756830.58984910848</v>
      </c>
    </row>
    <row r="336" spans="1:7" ht="14.25" customHeight="1" x14ac:dyDescent="0.45">
      <c r="A336" s="465" t="s">
        <v>902</v>
      </c>
      <c r="B336" s="465"/>
      <c r="C336" s="465"/>
      <c r="D336" s="465"/>
    </row>
    <row r="337" spans="1:5" x14ac:dyDescent="0.45">
      <c r="A337" s="465"/>
      <c r="B337" s="465"/>
      <c r="C337" s="465"/>
      <c r="D337" s="465"/>
    </row>
    <row r="338" spans="1:5" x14ac:dyDescent="0.45">
      <c r="A338" s="465"/>
      <c r="B338" s="465"/>
      <c r="C338" s="465"/>
      <c r="D338" s="465"/>
    </row>
    <row r="339" spans="1:5" x14ac:dyDescent="0.45">
      <c r="A339" s="465"/>
      <c r="B339" s="465"/>
      <c r="C339" s="465"/>
      <c r="D339" s="465"/>
    </row>
    <row r="340" spans="1:5" x14ac:dyDescent="0.45">
      <c r="A340" s="465"/>
      <c r="B340" s="465"/>
      <c r="C340" s="465"/>
      <c r="D340" s="465"/>
    </row>
    <row r="341" spans="1:5" x14ac:dyDescent="0.45">
      <c r="A341" s="465"/>
      <c r="B341" s="465"/>
      <c r="C341" s="465"/>
      <c r="D341" s="465"/>
    </row>
    <row r="342" spans="1:5" x14ac:dyDescent="0.45">
      <c r="A342" s="465"/>
      <c r="B342" s="465"/>
      <c r="C342" s="465"/>
      <c r="D342" s="465"/>
    </row>
    <row r="343" spans="1:5" x14ac:dyDescent="0.45">
      <c r="A343" s="465"/>
      <c r="B343" s="465"/>
      <c r="C343" s="465"/>
      <c r="D343" s="465"/>
    </row>
    <row r="344" spans="1:5" x14ac:dyDescent="0.45">
      <c r="A344" s="465"/>
      <c r="B344" s="465"/>
      <c r="C344" s="465"/>
      <c r="D344" s="465"/>
    </row>
    <row r="345" spans="1:5" x14ac:dyDescent="0.45">
      <c r="A345" s="465"/>
      <c r="B345" s="465"/>
      <c r="C345" s="465"/>
      <c r="D345" s="465"/>
    </row>
    <row r="347" spans="1:5" s="33" customFormat="1" x14ac:dyDescent="0.45">
      <c r="A347" s="34">
        <v>20</v>
      </c>
    </row>
    <row r="349" spans="1:5" x14ac:dyDescent="0.45">
      <c r="A349" s="442" t="s">
        <v>170</v>
      </c>
      <c r="D349" t="s">
        <v>932</v>
      </c>
      <c r="E349" s="215">
        <f>B351/(B350+B351)</f>
        <v>0.4</v>
      </c>
    </row>
    <row r="350" spans="1:5" x14ac:dyDescent="0.45">
      <c r="A350" t="s">
        <v>928</v>
      </c>
      <c r="B350" s="99">
        <v>0.6</v>
      </c>
      <c r="D350" t="s">
        <v>933</v>
      </c>
      <c r="E350" s="215">
        <f>B350/(B350+B351)</f>
        <v>0.6</v>
      </c>
    </row>
    <row r="351" spans="1:5" x14ac:dyDescent="0.45">
      <c r="A351" t="s">
        <v>927</v>
      </c>
      <c r="B351" s="99">
        <v>0.4</v>
      </c>
      <c r="D351" t="s">
        <v>381</v>
      </c>
      <c r="E351" s="441">
        <f>E349*B352+E350*B353*(1-B354)</f>
        <v>7.4999999999999997E-2</v>
      </c>
    </row>
    <row r="352" spans="1:5" x14ac:dyDescent="0.45">
      <c r="A352" t="s">
        <v>929</v>
      </c>
      <c r="B352" s="210">
        <v>0.12</v>
      </c>
    </row>
    <row r="353" spans="1:7" x14ac:dyDescent="0.45">
      <c r="A353" t="s">
        <v>931</v>
      </c>
      <c r="B353" s="210">
        <v>0.06</v>
      </c>
    </row>
    <row r="354" spans="1:7" x14ac:dyDescent="0.45">
      <c r="A354" t="s">
        <v>930</v>
      </c>
      <c r="B354" s="210">
        <v>0.25</v>
      </c>
    </row>
    <row r="356" spans="1:7" x14ac:dyDescent="0.45">
      <c r="A356" s="442" t="s">
        <v>94</v>
      </c>
    </row>
    <row r="358" spans="1:7" x14ac:dyDescent="0.45">
      <c r="A358" t="s">
        <v>934</v>
      </c>
      <c r="D358">
        <v>220</v>
      </c>
    </row>
    <row r="359" spans="1:7" x14ac:dyDescent="0.45">
      <c r="A359" t="s">
        <v>935</v>
      </c>
      <c r="D359" s="210">
        <v>0.78</v>
      </c>
    </row>
    <row r="360" spans="1:7" x14ac:dyDescent="0.45">
      <c r="A360" t="s">
        <v>936</v>
      </c>
      <c r="D360" s="1">
        <v>600000</v>
      </c>
    </row>
    <row r="361" spans="1:7" x14ac:dyDescent="0.45">
      <c r="A361" t="s">
        <v>937</v>
      </c>
      <c r="D361" s="1">
        <v>300000</v>
      </c>
      <c r="F361" t="s">
        <v>938</v>
      </c>
      <c r="G361" s="210">
        <v>0.05</v>
      </c>
    </row>
    <row r="362" spans="1:7" x14ac:dyDescent="0.45">
      <c r="A362" t="s">
        <v>939</v>
      </c>
      <c r="D362" s="1">
        <v>60000</v>
      </c>
      <c r="F362" t="s">
        <v>940</v>
      </c>
      <c r="G362" s="210">
        <v>0.05</v>
      </c>
    </row>
    <row r="363" spans="1:7" x14ac:dyDescent="0.45">
      <c r="A363" t="s">
        <v>941</v>
      </c>
      <c r="D363" s="1">
        <v>20000</v>
      </c>
    </row>
    <row r="364" spans="1:7" x14ac:dyDescent="0.45">
      <c r="A364" t="s">
        <v>942</v>
      </c>
      <c r="D364" s="1">
        <v>15000</v>
      </c>
    </row>
    <row r="365" spans="1:7" x14ac:dyDescent="0.45">
      <c r="A365" t="s">
        <v>943</v>
      </c>
      <c r="D365" s="1">
        <v>3000</v>
      </c>
    </row>
    <row r="366" spans="1:7" x14ac:dyDescent="0.45">
      <c r="A366" t="s">
        <v>504</v>
      </c>
      <c r="D366" s="210">
        <v>7.0000000000000007E-2</v>
      </c>
      <c r="F366" t="s">
        <v>288</v>
      </c>
      <c r="G366" s="398">
        <f>(D360-D363)/5</f>
        <v>116000</v>
      </c>
    </row>
    <row r="367" spans="1:7" x14ac:dyDescent="0.45">
      <c r="A367" t="s">
        <v>944</v>
      </c>
      <c r="D367" s="210">
        <v>0.25</v>
      </c>
    </row>
    <row r="370" spans="1:6" x14ac:dyDescent="0.45">
      <c r="A370" t="s">
        <v>945</v>
      </c>
      <c r="B370">
        <v>1</v>
      </c>
      <c r="C370">
        <v>2</v>
      </c>
      <c r="D370">
        <v>3</v>
      </c>
      <c r="E370">
        <v>4</v>
      </c>
      <c r="F370">
        <v>5</v>
      </c>
    </row>
    <row r="371" spans="1:6" x14ac:dyDescent="0.45">
      <c r="A371" t="s">
        <v>946</v>
      </c>
      <c r="B371" s="15">
        <f>D361</f>
        <v>300000</v>
      </c>
      <c r="C371" s="398">
        <f>B371*(1+$G$361)</f>
        <v>315000</v>
      </c>
      <c r="D371" s="398">
        <f>C371*(1+$G$361)</f>
        <v>330750</v>
      </c>
      <c r="E371" s="398">
        <f>D371*(1+$G$361)</f>
        <v>347287.5</v>
      </c>
      <c r="F371" s="398">
        <f>E371*(1+$G$361)</f>
        <v>364651.875</v>
      </c>
    </row>
    <row r="372" spans="1:6" x14ac:dyDescent="0.45">
      <c r="A372" t="s">
        <v>947</v>
      </c>
      <c r="B372" s="15">
        <f>D362</f>
        <v>60000</v>
      </c>
      <c r="C372" s="398">
        <f>B372*(1+$G$362)</f>
        <v>63000</v>
      </c>
      <c r="D372" s="398">
        <f>C372*(1+$G$362)</f>
        <v>66150</v>
      </c>
      <c r="E372" s="398">
        <f>D372*(1+$G$362)</f>
        <v>69457.5</v>
      </c>
      <c r="F372" s="398">
        <f>E372*(1+$G$362)</f>
        <v>72930.375</v>
      </c>
    </row>
    <row r="373" spans="1:6" x14ac:dyDescent="0.45">
      <c r="A373" t="s">
        <v>407</v>
      </c>
      <c r="B373" s="15">
        <f>B371-B372</f>
        <v>240000</v>
      </c>
      <c r="C373" s="15">
        <f t="shared" ref="C373:F373" si="40">C371-C372</f>
        <v>252000</v>
      </c>
      <c r="D373" s="15">
        <f t="shared" si="40"/>
        <v>264600</v>
      </c>
      <c r="E373" s="15">
        <f t="shared" si="40"/>
        <v>277830</v>
      </c>
      <c r="F373" s="15">
        <f t="shared" si="40"/>
        <v>291721.5</v>
      </c>
    </row>
    <row r="374" spans="1:6" x14ac:dyDescent="0.45">
      <c r="A374" t="s">
        <v>948</v>
      </c>
      <c r="B374" s="398">
        <f>$G$366</f>
        <v>116000</v>
      </c>
      <c r="C374" s="398">
        <f t="shared" ref="C374:F374" si="41">$G$366</f>
        <v>116000</v>
      </c>
      <c r="D374" s="398">
        <f t="shared" si="41"/>
        <v>116000</v>
      </c>
      <c r="E374" s="398">
        <f t="shared" si="41"/>
        <v>116000</v>
      </c>
      <c r="F374" s="398">
        <f t="shared" si="41"/>
        <v>116000</v>
      </c>
    </row>
    <row r="375" spans="1:6" x14ac:dyDescent="0.45">
      <c r="A375" t="s">
        <v>413</v>
      </c>
      <c r="B375" s="398">
        <f>B373-B374</f>
        <v>124000</v>
      </c>
      <c r="C375" s="398">
        <f t="shared" ref="C375:F375" si="42">C373-C374</f>
        <v>136000</v>
      </c>
      <c r="D375" s="398">
        <f t="shared" si="42"/>
        <v>148600</v>
      </c>
      <c r="E375" s="398">
        <f t="shared" si="42"/>
        <v>161830</v>
      </c>
      <c r="F375" s="398">
        <f t="shared" si="42"/>
        <v>175721.5</v>
      </c>
    </row>
    <row r="376" spans="1:6" x14ac:dyDescent="0.45">
      <c r="A376" t="s">
        <v>456</v>
      </c>
      <c r="B376" s="398">
        <f>B375*$D$367</f>
        <v>31000</v>
      </c>
      <c r="C376" s="398">
        <f t="shared" ref="C376:F376" si="43">C375*$D$367</f>
        <v>34000</v>
      </c>
      <c r="D376" s="398">
        <f t="shared" si="43"/>
        <v>37150</v>
      </c>
      <c r="E376" s="398">
        <f t="shared" si="43"/>
        <v>40457.5</v>
      </c>
      <c r="F376" s="398">
        <f t="shared" si="43"/>
        <v>43930.375</v>
      </c>
    </row>
    <row r="377" spans="1:6" x14ac:dyDescent="0.45">
      <c r="A377" t="s">
        <v>824</v>
      </c>
      <c r="B377" s="398">
        <f>B375-B376</f>
        <v>93000</v>
      </c>
      <c r="C377" s="398">
        <f t="shared" ref="C377:F377" si="44">C375-C376</f>
        <v>102000</v>
      </c>
      <c r="D377" s="398">
        <f t="shared" si="44"/>
        <v>111450</v>
      </c>
      <c r="E377" s="398">
        <f t="shared" si="44"/>
        <v>121372.5</v>
      </c>
      <c r="F377" s="398">
        <f t="shared" si="44"/>
        <v>131791.125</v>
      </c>
    </row>
    <row r="378" spans="1:6" x14ac:dyDescent="0.45">
      <c r="A378" t="s">
        <v>948</v>
      </c>
      <c r="B378" s="398">
        <f>B374</f>
        <v>116000</v>
      </c>
      <c r="C378" s="398">
        <f t="shared" ref="C378:F378" si="45">C374</f>
        <v>116000</v>
      </c>
      <c r="D378" s="398">
        <f t="shared" si="45"/>
        <v>116000</v>
      </c>
      <c r="E378" s="398">
        <f t="shared" si="45"/>
        <v>116000</v>
      </c>
      <c r="F378" s="398">
        <f t="shared" si="45"/>
        <v>116000</v>
      </c>
    </row>
    <row r="379" spans="1:6" x14ac:dyDescent="0.45">
      <c r="A379" t="s">
        <v>805</v>
      </c>
      <c r="B379" s="15">
        <f>$D$364</f>
        <v>15000</v>
      </c>
      <c r="C379" s="15">
        <f>$D$365</f>
        <v>3000</v>
      </c>
      <c r="D379" s="15">
        <f>$D$365</f>
        <v>3000</v>
      </c>
      <c r="E379" s="15">
        <f>$D$365</f>
        <v>3000</v>
      </c>
      <c r="F379" s="15">
        <f>$D$365</f>
        <v>3000</v>
      </c>
    </row>
    <row r="380" spans="1:6" x14ac:dyDescent="0.45">
      <c r="A380" t="s">
        <v>949</v>
      </c>
      <c r="B380" s="398">
        <f>B377+B378-B379</f>
        <v>194000</v>
      </c>
      <c r="C380" s="398">
        <f t="shared" ref="C380:F380" si="46">C377+C378-C379</f>
        <v>215000</v>
      </c>
      <c r="D380" s="398">
        <f t="shared" si="46"/>
        <v>224450</v>
      </c>
      <c r="E380" s="398">
        <f t="shared" si="46"/>
        <v>234372.5</v>
      </c>
      <c r="F380" s="398">
        <f t="shared" si="46"/>
        <v>244791.125</v>
      </c>
    </row>
    <row r="381" spans="1:6" x14ac:dyDescent="0.45">
      <c r="A381" t="s">
        <v>950</v>
      </c>
      <c r="F381" s="15">
        <f>D363</f>
        <v>20000</v>
      </c>
    </row>
    <row r="382" spans="1:6" x14ac:dyDescent="0.45">
      <c r="A382" t="s">
        <v>951</v>
      </c>
      <c r="B382" s="398">
        <f>B380+B381</f>
        <v>194000</v>
      </c>
      <c r="C382" s="398">
        <f>C380+C381</f>
        <v>215000</v>
      </c>
      <c r="D382" s="398">
        <f>D380+D381</f>
        <v>224450</v>
      </c>
      <c r="E382" s="398">
        <f>E380+E381</f>
        <v>234372.5</v>
      </c>
      <c r="F382" s="398">
        <f>F380+F381</f>
        <v>264791.125</v>
      </c>
    </row>
    <row r="384" spans="1:6" x14ac:dyDescent="0.45">
      <c r="A384" t="s">
        <v>601</v>
      </c>
      <c r="B384" s="398">
        <f>B382/(1+$D$366)^B370</f>
        <v>181308.41121495326</v>
      </c>
      <c r="C384" s="398">
        <f>C382/(1+$D$366)^C370</f>
        <v>187789.3265787405</v>
      </c>
      <c r="D384" s="398">
        <f>D382/(1+$D$366)^D370</f>
        <v>183218.05846815172</v>
      </c>
      <c r="E384" s="398">
        <f>E382/(1+$D$366)^E370</f>
        <v>178801.65808560859</v>
      </c>
      <c r="F384" s="398">
        <f>F382/(1+$D$366)^F370</f>
        <v>188792.41257493247</v>
      </c>
    </row>
    <row r="386" spans="1:5" x14ac:dyDescent="0.45">
      <c r="A386" t="s">
        <v>469</v>
      </c>
      <c r="B386" s="398">
        <f>SUM(B384:F384)</f>
        <v>919909.86692238657</v>
      </c>
    </row>
    <row r="387" spans="1:5" x14ac:dyDescent="0.45">
      <c r="A387" t="s">
        <v>470</v>
      </c>
      <c r="B387" s="332">
        <f>B386-D360</f>
        <v>319909.86692238657</v>
      </c>
    </row>
    <row r="389" spans="1:5" x14ac:dyDescent="0.45">
      <c r="A389" t="s">
        <v>952</v>
      </c>
    </row>
    <row r="391" spans="1:5" ht="14.25" customHeight="1" x14ac:dyDescent="0.45">
      <c r="A391" s="463" t="s">
        <v>1035</v>
      </c>
      <c r="B391" s="463"/>
      <c r="C391" s="463"/>
      <c r="D391" s="463"/>
      <c r="E391" s="463"/>
    </row>
    <row r="392" spans="1:5" x14ac:dyDescent="0.45">
      <c r="A392" s="463"/>
      <c r="B392" s="463"/>
      <c r="C392" s="463"/>
      <c r="D392" s="463"/>
      <c r="E392" s="463"/>
    </row>
    <row r="393" spans="1:5" x14ac:dyDescent="0.45">
      <c r="A393" s="463"/>
      <c r="B393" s="463"/>
      <c r="C393" s="463"/>
      <c r="D393" s="463"/>
      <c r="E393" s="463"/>
    </row>
    <row r="394" spans="1:5" x14ac:dyDescent="0.45">
      <c r="A394" s="463"/>
      <c r="B394" s="463"/>
      <c r="C394" s="463"/>
      <c r="D394" s="463"/>
      <c r="E394" s="463"/>
    </row>
    <row r="395" spans="1:5" x14ac:dyDescent="0.45">
      <c r="A395" s="463"/>
      <c r="B395" s="463"/>
      <c r="C395" s="463"/>
      <c r="D395" s="463"/>
      <c r="E395" s="463"/>
    </row>
    <row r="396" spans="1:5" x14ac:dyDescent="0.45">
      <c r="A396" s="463"/>
      <c r="B396" s="463"/>
      <c r="C396" s="463"/>
      <c r="D396" s="463"/>
      <c r="E396" s="463"/>
    </row>
    <row r="397" spans="1:5" x14ac:dyDescent="0.45">
      <c r="A397" s="82"/>
      <c r="B397" s="82"/>
      <c r="C397" s="82"/>
      <c r="D397" s="82"/>
      <c r="E397" s="82"/>
    </row>
    <row r="398" spans="1:5" s="33" customFormat="1" x14ac:dyDescent="0.45">
      <c r="A398" s="34">
        <v>21</v>
      </c>
    </row>
    <row r="400" spans="1:5" ht="14.25" customHeight="1" x14ac:dyDescent="0.45">
      <c r="A400" s="465" t="s">
        <v>1012</v>
      </c>
      <c r="B400" s="465"/>
      <c r="C400" s="465"/>
      <c r="D400" s="465"/>
      <c r="E400" s="465"/>
    </row>
    <row r="401" spans="1:5" x14ac:dyDescent="0.45">
      <c r="A401" s="465"/>
      <c r="B401" s="465"/>
      <c r="C401" s="465"/>
      <c r="D401" s="465"/>
      <c r="E401" s="465"/>
    </row>
    <row r="402" spans="1:5" x14ac:dyDescent="0.45">
      <c r="A402" s="465"/>
      <c r="B402" s="465"/>
      <c r="C402" s="465"/>
      <c r="D402" s="465"/>
      <c r="E402" s="465"/>
    </row>
    <row r="403" spans="1:5" x14ac:dyDescent="0.45">
      <c r="A403" s="465"/>
      <c r="B403" s="465"/>
      <c r="C403" s="465"/>
      <c r="D403" s="465"/>
      <c r="E403" s="465"/>
    </row>
    <row r="404" spans="1:5" x14ac:dyDescent="0.45">
      <c r="A404" s="465"/>
      <c r="B404" s="465"/>
      <c r="C404" s="465"/>
      <c r="D404" s="465"/>
      <c r="E404" s="465"/>
    </row>
    <row r="405" spans="1:5" x14ac:dyDescent="0.45">
      <c r="A405" s="465"/>
      <c r="B405" s="465"/>
      <c r="C405" s="465"/>
      <c r="D405" s="465"/>
      <c r="E405" s="465"/>
    </row>
    <row r="406" spans="1:5" x14ac:dyDescent="0.45">
      <c r="A406" s="465"/>
      <c r="B406" s="465"/>
      <c r="C406" s="465"/>
      <c r="D406" s="465"/>
      <c r="E406" s="465"/>
    </row>
    <row r="407" spans="1:5" x14ac:dyDescent="0.45">
      <c r="A407" s="465"/>
      <c r="B407" s="465"/>
      <c r="C407" s="465"/>
      <c r="D407" s="465"/>
      <c r="E407" s="465"/>
    </row>
    <row r="409" spans="1:5" x14ac:dyDescent="0.45">
      <c r="A409" s="464" t="s">
        <v>1013</v>
      </c>
      <c r="B409" s="464"/>
      <c r="C409" s="464"/>
      <c r="D409" s="464"/>
      <c r="E409" s="464"/>
    </row>
    <row r="410" spans="1:5" x14ac:dyDescent="0.45">
      <c r="A410" s="464"/>
      <c r="B410" s="464"/>
      <c r="C410" s="464"/>
      <c r="D410" s="464"/>
      <c r="E410" s="464"/>
    </row>
    <row r="411" spans="1:5" x14ac:dyDescent="0.45">
      <c r="A411" s="464"/>
      <c r="B411" s="464"/>
      <c r="C411" s="464"/>
      <c r="D411" s="464"/>
      <c r="E411" s="464"/>
    </row>
    <row r="412" spans="1:5" x14ac:dyDescent="0.45">
      <c r="A412" s="464"/>
      <c r="B412" s="464"/>
      <c r="C412" s="464"/>
      <c r="D412" s="464"/>
      <c r="E412" s="464"/>
    </row>
    <row r="413" spans="1:5" x14ac:dyDescent="0.45">
      <c r="A413" s="464"/>
      <c r="B413" s="464"/>
      <c r="C413" s="464"/>
      <c r="D413" s="464"/>
      <c r="E413" s="464"/>
    </row>
    <row r="414" spans="1:5" x14ac:dyDescent="0.45">
      <c r="A414" s="464"/>
      <c r="B414" s="464"/>
      <c r="C414" s="464"/>
      <c r="D414" s="464"/>
      <c r="E414" s="464"/>
    </row>
    <row r="415" spans="1:5" x14ac:dyDescent="0.45">
      <c r="A415" s="464"/>
      <c r="B415" s="464"/>
      <c r="C415" s="464"/>
      <c r="D415" s="464"/>
      <c r="E415" s="464"/>
    </row>
    <row r="417" spans="1:4" s="33" customFormat="1" x14ac:dyDescent="0.45">
      <c r="A417" s="34">
        <v>22</v>
      </c>
    </row>
    <row r="419" spans="1:4" x14ac:dyDescent="0.45">
      <c r="A419" s="451" t="s">
        <v>381</v>
      </c>
      <c r="B419" s="452">
        <v>0.1</v>
      </c>
    </row>
    <row r="420" spans="1:4" x14ac:dyDescent="0.45">
      <c r="A420" s="451" t="s">
        <v>695</v>
      </c>
      <c r="B420" s="452">
        <v>0.03</v>
      </c>
    </row>
    <row r="421" spans="1:4" ht="15.75" x14ac:dyDescent="0.5">
      <c r="A421" s="451" t="s">
        <v>1069</v>
      </c>
      <c r="B421" s="453">
        <v>100000</v>
      </c>
    </row>
    <row r="422" spans="1:4" ht="28.5" x14ac:dyDescent="0.45">
      <c r="A422" s="454" t="s">
        <v>1070</v>
      </c>
      <c r="B422" s="452">
        <v>0.08</v>
      </c>
    </row>
    <row r="423" spans="1:4" x14ac:dyDescent="0.45">
      <c r="A423" s="451" t="s">
        <v>527</v>
      </c>
      <c r="B423" s="452">
        <v>0.25</v>
      </c>
    </row>
    <row r="424" spans="1:4" ht="15.75" x14ac:dyDescent="0.5">
      <c r="A424" s="451" t="s">
        <v>102</v>
      </c>
      <c r="B424" s="453">
        <v>5</v>
      </c>
    </row>
    <row r="425" spans="1:4" ht="15.75" x14ac:dyDescent="0.5">
      <c r="A425" s="451" t="s">
        <v>1071</v>
      </c>
      <c r="B425" s="453">
        <v>12000</v>
      </c>
    </row>
    <row r="426" spans="1:4" ht="15.75" x14ac:dyDescent="0.5">
      <c r="A426" s="451" t="s">
        <v>450</v>
      </c>
      <c r="B426" s="453">
        <v>8000</v>
      </c>
    </row>
    <row r="427" spans="1:4" ht="15.75" x14ac:dyDescent="0.5">
      <c r="A427" s="451" t="s">
        <v>821</v>
      </c>
      <c r="B427" s="453">
        <v>9000</v>
      </c>
    </row>
    <row r="428" spans="1:4" ht="15.75" x14ac:dyDescent="0.5">
      <c r="A428" s="451" t="s">
        <v>822</v>
      </c>
      <c r="B428" s="453">
        <v>2000</v>
      </c>
    </row>
    <row r="429" spans="1:4" ht="15.75" x14ac:dyDescent="0.5">
      <c r="A429" s="451" t="s">
        <v>1072</v>
      </c>
      <c r="B429" s="453">
        <v>2</v>
      </c>
    </row>
    <row r="431" spans="1:4" ht="15.75" x14ac:dyDescent="0.5">
      <c r="A431" s="17" t="s">
        <v>392</v>
      </c>
      <c r="B431" s="455">
        <v>1</v>
      </c>
      <c r="C431">
        <v>2</v>
      </c>
      <c r="D431">
        <v>3</v>
      </c>
    </row>
    <row r="432" spans="1:4" x14ac:dyDescent="0.45">
      <c r="A432" s="17" t="s">
        <v>407</v>
      </c>
      <c r="B432" s="1">
        <f>B421</f>
        <v>100000</v>
      </c>
      <c r="C432" s="1">
        <f>B432*(1+$B$422)</f>
        <v>108000</v>
      </c>
      <c r="D432" s="1">
        <f>C432*(1+$B$422)</f>
        <v>116640.00000000001</v>
      </c>
    </row>
    <row r="433" spans="1:4" x14ac:dyDescent="0.45">
      <c r="A433" s="17" t="s">
        <v>802</v>
      </c>
      <c r="B433" s="1">
        <f>$B$426</f>
        <v>8000</v>
      </c>
      <c r="C433" s="1">
        <f>$B$426</f>
        <v>8000</v>
      </c>
      <c r="D433" s="1">
        <f>$B$426</f>
        <v>8000</v>
      </c>
    </row>
    <row r="434" spans="1:4" x14ac:dyDescent="0.45">
      <c r="A434" s="17" t="s">
        <v>413</v>
      </c>
      <c r="B434" s="1">
        <f>B432-B433</f>
        <v>92000</v>
      </c>
      <c r="C434" s="1">
        <f>C432-C433</f>
        <v>100000</v>
      </c>
      <c r="D434" s="1">
        <f>D432-D433</f>
        <v>108640.00000000001</v>
      </c>
    </row>
    <row r="435" spans="1:4" x14ac:dyDescent="0.45">
      <c r="A435" s="17" t="s">
        <v>803</v>
      </c>
      <c r="B435" s="1">
        <v>0</v>
      </c>
      <c r="C435" s="1">
        <v>0</v>
      </c>
      <c r="D435" s="1">
        <v>0</v>
      </c>
    </row>
    <row r="436" spans="1:4" x14ac:dyDescent="0.45">
      <c r="A436" s="17" t="s">
        <v>415</v>
      </c>
      <c r="B436" s="1">
        <f>B434-B435</f>
        <v>92000</v>
      </c>
      <c r="C436" s="1">
        <f>C434-C435</f>
        <v>100000</v>
      </c>
      <c r="D436" s="1">
        <f>D434-D435</f>
        <v>108640.00000000001</v>
      </c>
    </row>
    <row r="437" spans="1:4" x14ac:dyDescent="0.45">
      <c r="A437" s="17" t="s">
        <v>565</v>
      </c>
      <c r="B437" s="1">
        <f>B436*$B$423</f>
        <v>23000</v>
      </c>
      <c r="C437" s="1">
        <f>C436*$B$423</f>
        <v>25000</v>
      </c>
      <c r="D437" s="1">
        <f>D436*$B$423</f>
        <v>27160.000000000004</v>
      </c>
    </row>
    <row r="438" spans="1:4" x14ac:dyDescent="0.45">
      <c r="A438" s="17" t="s">
        <v>824</v>
      </c>
      <c r="B438" s="1">
        <f>B436-B437</f>
        <v>69000</v>
      </c>
      <c r="C438" s="1">
        <f>C436-C437</f>
        <v>75000</v>
      </c>
      <c r="D438" s="1">
        <f>D436-D437</f>
        <v>81480.000000000015</v>
      </c>
    </row>
    <row r="439" spans="1:4" x14ac:dyDescent="0.45">
      <c r="A439" s="17" t="s">
        <v>804</v>
      </c>
      <c r="B439" s="1">
        <f>$B$427</f>
        <v>9000</v>
      </c>
      <c r="C439" s="1">
        <f>$B$427</f>
        <v>9000</v>
      </c>
      <c r="D439" s="1">
        <f>$B$427</f>
        <v>9000</v>
      </c>
    </row>
    <row r="440" spans="1:4" x14ac:dyDescent="0.45">
      <c r="A440" s="17" t="s">
        <v>805</v>
      </c>
      <c r="B440" s="1">
        <f>$B$428</f>
        <v>2000</v>
      </c>
      <c r="C440" s="1">
        <f>$B$428</f>
        <v>2000</v>
      </c>
      <c r="D440" s="1">
        <f>$B$428</f>
        <v>2000</v>
      </c>
    </row>
    <row r="441" spans="1:4" x14ac:dyDescent="0.45">
      <c r="A441" s="17" t="s">
        <v>802</v>
      </c>
      <c r="B441" s="1">
        <f>B433</f>
        <v>8000</v>
      </c>
      <c r="C441" s="1">
        <f>C433</f>
        <v>8000</v>
      </c>
      <c r="D441" s="1">
        <f>D433</f>
        <v>8000</v>
      </c>
    </row>
    <row r="442" spans="1:4" x14ac:dyDescent="0.45">
      <c r="A442" s="17" t="s">
        <v>542</v>
      </c>
      <c r="B442" s="1">
        <f>B438-B439-B440+B441</f>
        <v>66000</v>
      </c>
      <c r="C442" s="1">
        <f>C438-C439-C440+C441</f>
        <v>72000</v>
      </c>
      <c r="D442" s="1">
        <f>D438-D439-D440+D441</f>
        <v>78480.000000000015</v>
      </c>
    </row>
    <row r="443" spans="1:4" x14ac:dyDescent="0.45">
      <c r="A443" s="17" t="s">
        <v>600</v>
      </c>
      <c r="B443" s="1"/>
      <c r="C443" s="1"/>
      <c r="D443" s="1">
        <f>D442*(1+B420)/(B419-B420)</f>
        <v>1154777.1428571432</v>
      </c>
    </row>
    <row r="444" spans="1:4" x14ac:dyDescent="0.45">
      <c r="A444" s="17" t="s">
        <v>814</v>
      </c>
      <c r="B444" s="1">
        <f>B442+B443</f>
        <v>66000</v>
      </c>
      <c r="C444" s="1">
        <f>C442+C443</f>
        <v>72000</v>
      </c>
      <c r="D444" s="1">
        <f>D442+D443</f>
        <v>1233257.1428571432</v>
      </c>
    </row>
    <row r="445" spans="1:4" x14ac:dyDescent="0.45">
      <c r="A445" s="17" t="s">
        <v>636</v>
      </c>
      <c r="B445" s="1">
        <f>B444/(1+$B$419)^B431</f>
        <v>59999.999999999993</v>
      </c>
      <c r="C445" s="1">
        <f>C444/(1+$B$419)^C431</f>
        <v>59504.132231404947</v>
      </c>
      <c r="D445" s="1">
        <f>D444/(1+$B$419)^D431</f>
        <v>926564.34474616288</v>
      </c>
    </row>
    <row r="447" spans="1:4" x14ac:dyDescent="0.45">
      <c r="A447" s="17" t="s">
        <v>1073</v>
      </c>
      <c r="B447" s="456">
        <f>SUM(B445:D445)</f>
        <v>1046068.4769775679</v>
      </c>
    </row>
    <row r="449" spans="1:7" s="33" customFormat="1" x14ac:dyDescent="0.45">
      <c r="A449" s="34">
        <v>23</v>
      </c>
    </row>
    <row r="451" spans="1:7" x14ac:dyDescent="0.45">
      <c r="A451" t="s">
        <v>1093</v>
      </c>
    </row>
    <row r="453" spans="1:7" ht="21" x14ac:dyDescent="0.65">
      <c r="A453" s="458" t="s">
        <v>1094</v>
      </c>
      <c r="B453" s="458">
        <v>0</v>
      </c>
      <c r="C453" s="458">
        <v>1</v>
      </c>
      <c r="D453" s="458">
        <v>2</v>
      </c>
      <c r="E453" s="458">
        <v>3</v>
      </c>
      <c r="F453" s="458">
        <v>4</v>
      </c>
      <c r="G453" s="458">
        <v>5</v>
      </c>
    </row>
    <row r="454" spans="1:7" ht="21" x14ac:dyDescent="0.65">
      <c r="A454" s="459" t="s">
        <v>1095</v>
      </c>
      <c r="B454" s="460">
        <v>-100000</v>
      </c>
      <c r="C454" s="460">
        <v>30000</v>
      </c>
      <c r="D454" s="460">
        <v>40000</v>
      </c>
      <c r="E454" s="460">
        <v>60000</v>
      </c>
      <c r="F454" s="460">
        <v>80000</v>
      </c>
      <c r="G454" s="460">
        <v>80000</v>
      </c>
    </row>
    <row r="456" spans="1:7" x14ac:dyDescent="0.45">
      <c r="A456" t="s">
        <v>410</v>
      </c>
      <c r="B456" s="98">
        <f>B454</f>
        <v>-100000</v>
      </c>
    </row>
    <row r="457" spans="1:7" x14ac:dyDescent="0.45">
      <c r="A457" t="s">
        <v>1096</v>
      </c>
      <c r="B457" s="98">
        <f>B456+C454</f>
        <v>-70000</v>
      </c>
    </row>
    <row r="458" spans="1:7" x14ac:dyDescent="0.45">
      <c r="A458" t="s">
        <v>1097</v>
      </c>
      <c r="B458" s="98">
        <f>B457+D454</f>
        <v>-30000</v>
      </c>
    </row>
    <row r="459" spans="1:7" x14ac:dyDescent="0.45">
      <c r="A459" t="s">
        <v>1098</v>
      </c>
      <c r="B459" s="98">
        <f>B458+E454</f>
        <v>30000</v>
      </c>
      <c r="C459" t="s">
        <v>1099</v>
      </c>
    </row>
    <row r="461" spans="1:7" x14ac:dyDescent="0.45">
      <c r="A461" t="s">
        <v>1100</v>
      </c>
      <c r="B461">
        <f>-B458/E454</f>
        <v>0.5</v>
      </c>
    </row>
    <row r="462" spans="1:7" x14ac:dyDescent="0.45">
      <c r="A462" t="s">
        <v>1101</v>
      </c>
      <c r="B462" s="333">
        <f>2+B461</f>
        <v>2.5</v>
      </c>
      <c r="C462" t="s">
        <v>675</v>
      </c>
    </row>
    <row r="464" spans="1:7" x14ac:dyDescent="0.45">
      <c r="A464" t="s">
        <v>1102</v>
      </c>
    </row>
    <row r="466" spans="1:5" s="33" customFormat="1" x14ac:dyDescent="0.45">
      <c r="A466" s="34">
        <v>24</v>
      </c>
    </row>
    <row r="467" spans="1:5" x14ac:dyDescent="0.45">
      <c r="A467" s="451" t="s">
        <v>381</v>
      </c>
      <c r="B467" s="452">
        <v>0.11</v>
      </c>
    </row>
    <row r="468" spans="1:5" x14ac:dyDescent="0.45">
      <c r="A468" s="451" t="s">
        <v>695</v>
      </c>
      <c r="B468" s="452">
        <v>0.03</v>
      </c>
    </row>
    <row r="469" spans="1:5" ht="15.75" x14ac:dyDescent="0.5">
      <c r="A469" s="451" t="s">
        <v>709</v>
      </c>
      <c r="B469" s="453">
        <v>250000</v>
      </c>
    </row>
    <row r="470" spans="1:5" ht="28.5" x14ac:dyDescent="0.45">
      <c r="A470" s="454" t="s">
        <v>1131</v>
      </c>
      <c r="B470" s="452">
        <v>0.04</v>
      </c>
    </row>
    <row r="471" spans="1:5" x14ac:dyDescent="0.45">
      <c r="A471" s="451" t="s">
        <v>527</v>
      </c>
      <c r="B471" s="452">
        <v>0.25</v>
      </c>
    </row>
    <row r="472" spans="1:5" x14ac:dyDescent="0.45">
      <c r="A472" s="451" t="s">
        <v>1017</v>
      </c>
      <c r="B472" s="452">
        <v>0.1</v>
      </c>
    </row>
    <row r="473" spans="1:5" ht="15.75" x14ac:dyDescent="0.5">
      <c r="A473" s="451" t="s">
        <v>1132</v>
      </c>
      <c r="B473" s="461">
        <v>0.65</v>
      </c>
    </row>
    <row r="474" spans="1:5" ht="15.75" x14ac:dyDescent="0.5">
      <c r="A474" s="451" t="s">
        <v>1071</v>
      </c>
      <c r="B474" s="453">
        <v>18000</v>
      </c>
    </row>
    <row r="475" spans="1:5" ht="15.75" x14ac:dyDescent="0.5">
      <c r="A475" s="451" t="s">
        <v>450</v>
      </c>
      <c r="B475" s="453">
        <v>6000</v>
      </c>
    </row>
    <row r="476" spans="1:5" ht="15.75" x14ac:dyDescent="0.5">
      <c r="A476" s="451" t="s">
        <v>821</v>
      </c>
      <c r="B476" s="453">
        <v>4000</v>
      </c>
    </row>
    <row r="477" spans="1:5" ht="15.75" x14ac:dyDescent="0.5">
      <c r="A477" s="451" t="s">
        <v>822</v>
      </c>
      <c r="B477" s="453">
        <v>1000</v>
      </c>
    </row>
    <row r="478" spans="1:5" ht="15.75" x14ac:dyDescent="0.5">
      <c r="A478" s="451" t="s">
        <v>1072</v>
      </c>
      <c r="B478" s="453">
        <v>4</v>
      </c>
    </row>
    <row r="480" spans="1:5" ht="15.75" x14ac:dyDescent="0.5">
      <c r="A480" s="17" t="s">
        <v>392</v>
      </c>
      <c r="B480" s="455">
        <v>1</v>
      </c>
      <c r="C480">
        <v>2</v>
      </c>
      <c r="D480">
        <v>3</v>
      </c>
      <c r="E480">
        <v>4</v>
      </c>
    </row>
    <row r="481" spans="1:5" ht="15.75" x14ac:dyDescent="0.5">
      <c r="A481" s="17" t="s">
        <v>96</v>
      </c>
      <c r="B481" s="455">
        <f>B469</f>
        <v>250000</v>
      </c>
      <c r="C481">
        <f>B481*(1+$B$470)</f>
        <v>260000</v>
      </c>
      <c r="D481">
        <f>C481*(1+$B$470)</f>
        <v>270400</v>
      </c>
      <c r="E481">
        <f>D481*(1+$B$470)</f>
        <v>281216</v>
      </c>
    </row>
    <row r="482" spans="1:5" x14ac:dyDescent="0.45">
      <c r="A482" s="17" t="s">
        <v>407</v>
      </c>
      <c r="B482" s="1">
        <f>B481*$B$473</f>
        <v>162500</v>
      </c>
      <c r="C482" s="1">
        <f>C481*$B$473</f>
        <v>169000</v>
      </c>
      <c r="D482" s="1">
        <f>D481*$B$473</f>
        <v>175760</v>
      </c>
      <c r="E482" s="1">
        <f>E481*$B$473</f>
        <v>182790.39999999999</v>
      </c>
    </row>
    <row r="483" spans="1:5" x14ac:dyDescent="0.45">
      <c r="A483" s="17" t="s">
        <v>802</v>
      </c>
      <c r="B483" s="1">
        <f>$B$475</f>
        <v>6000</v>
      </c>
      <c r="C483" s="1">
        <f>$B$475</f>
        <v>6000</v>
      </c>
      <c r="D483" s="1">
        <f>$B$475</f>
        <v>6000</v>
      </c>
      <c r="E483" s="1">
        <f>$B$475</f>
        <v>6000</v>
      </c>
    </row>
    <row r="484" spans="1:5" x14ac:dyDescent="0.45">
      <c r="A484" s="17" t="s">
        <v>413</v>
      </c>
      <c r="B484" s="1">
        <f>B482-B483</f>
        <v>156500</v>
      </c>
      <c r="C484" s="1">
        <f>C482-C483</f>
        <v>163000</v>
      </c>
      <c r="D484" s="1">
        <f>D482-D483</f>
        <v>169760</v>
      </c>
      <c r="E484" s="1">
        <f>E482-E483</f>
        <v>176790.39999999999</v>
      </c>
    </row>
    <row r="485" spans="1:5" x14ac:dyDescent="0.45">
      <c r="A485" s="17" t="s">
        <v>803</v>
      </c>
      <c r="B485" s="1">
        <v>0</v>
      </c>
      <c r="C485" s="1">
        <v>0</v>
      </c>
      <c r="D485" s="1">
        <v>0</v>
      </c>
      <c r="E485" s="1">
        <v>0</v>
      </c>
    </row>
    <row r="486" spans="1:5" x14ac:dyDescent="0.45">
      <c r="A486" s="17" t="s">
        <v>415</v>
      </c>
      <c r="B486" s="1">
        <f>B484-B485</f>
        <v>156500</v>
      </c>
      <c r="C486" s="1">
        <f>C484-C485</f>
        <v>163000</v>
      </c>
      <c r="D486" s="1">
        <f>D484-D485</f>
        <v>169760</v>
      </c>
      <c r="E486" s="1">
        <f>E484-E485</f>
        <v>176790.39999999999</v>
      </c>
    </row>
    <row r="487" spans="1:5" x14ac:dyDescent="0.45">
      <c r="A487" s="17" t="s">
        <v>565</v>
      </c>
      <c r="B487" s="1">
        <f>B486*$B$471</f>
        <v>39125</v>
      </c>
      <c r="C487" s="1">
        <f>C486*$B$471</f>
        <v>40750</v>
      </c>
      <c r="D487" s="1">
        <f>D486*$B$471</f>
        <v>42440</v>
      </c>
      <c r="E487" s="1">
        <f>E486*$B$471</f>
        <v>44197.599999999999</v>
      </c>
    </row>
    <row r="488" spans="1:5" x14ac:dyDescent="0.45">
      <c r="A488" s="17" t="s">
        <v>824</v>
      </c>
      <c r="B488" s="1">
        <f>B486-B487</f>
        <v>117375</v>
      </c>
      <c r="C488" s="1">
        <f>C486-C487</f>
        <v>122250</v>
      </c>
      <c r="D488" s="1">
        <f>D486-D487</f>
        <v>127320</v>
      </c>
      <c r="E488" s="1">
        <f>E486-E487</f>
        <v>132592.79999999999</v>
      </c>
    </row>
    <row r="489" spans="1:5" x14ac:dyDescent="0.45">
      <c r="A489" s="17" t="s">
        <v>804</v>
      </c>
      <c r="B489" s="1">
        <f>$B$476</f>
        <v>4000</v>
      </c>
      <c r="C489" s="1">
        <f>$B$476</f>
        <v>4000</v>
      </c>
      <c r="D489" s="1">
        <f>$B$476</f>
        <v>4000</v>
      </c>
      <c r="E489" s="1">
        <f>$B$476</f>
        <v>4000</v>
      </c>
    </row>
    <row r="490" spans="1:5" x14ac:dyDescent="0.45">
      <c r="A490" s="17" t="s">
        <v>805</v>
      </c>
      <c r="B490" s="1">
        <f>$B$477</f>
        <v>1000</v>
      </c>
      <c r="C490" s="1">
        <f>$B$477</f>
        <v>1000</v>
      </c>
      <c r="D490" s="1">
        <f>$B$477</f>
        <v>1000</v>
      </c>
      <c r="E490" s="1">
        <f>$B$477</f>
        <v>1000</v>
      </c>
    </row>
    <row r="491" spans="1:5" x14ac:dyDescent="0.45">
      <c r="A491" s="17" t="s">
        <v>802</v>
      </c>
      <c r="B491" s="1">
        <f>B483</f>
        <v>6000</v>
      </c>
      <c r="C491" s="1">
        <f>C483</f>
        <v>6000</v>
      </c>
      <c r="D491" s="1">
        <f>D483</f>
        <v>6000</v>
      </c>
      <c r="E491" s="1">
        <f>E483</f>
        <v>6000</v>
      </c>
    </row>
    <row r="492" spans="1:5" x14ac:dyDescent="0.45">
      <c r="A492" s="17" t="s">
        <v>542</v>
      </c>
      <c r="B492" s="1">
        <f>B488-B489-B490+B491</f>
        <v>118375</v>
      </c>
      <c r="C492" s="1">
        <f>C488-C489-C490+C491</f>
        <v>123250</v>
      </c>
      <c r="D492" s="1">
        <f>D488-D489-D490+D491</f>
        <v>128320</v>
      </c>
      <c r="E492" s="1">
        <f>E488-E489-E490+E491</f>
        <v>133592.79999999999</v>
      </c>
    </row>
    <row r="493" spans="1:5" x14ac:dyDescent="0.45">
      <c r="A493" s="17" t="s">
        <v>600</v>
      </c>
      <c r="B493" s="1"/>
      <c r="C493" s="1"/>
      <c r="D493" s="1"/>
      <c r="E493" s="1">
        <f>E492*(1+B468)/(B467-B468)</f>
        <v>1720007.3</v>
      </c>
    </row>
    <row r="494" spans="1:5" x14ac:dyDescent="0.45">
      <c r="A494" s="17" t="s">
        <v>814</v>
      </c>
      <c r="B494" s="1">
        <f>B492+B493</f>
        <v>118375</v>
      </c>
      <c r="C494" s="1">
        <f>C492+C493</f>
        <v>123250</v>
      </c>
      <c r="D494" s="1">
        <f>D492+D493</f>
        <v>128320</v>
      </c>
      <c r="E494" s="1">
        <f>E492+E493</f>
        <v>1853600.1</v>
      </c>
    </row>
    <row r="495" spans="1:5" x14ac:dyDescent="0.45">
      <c r="A495" s="17" t="s">
        <v>636</v>
      </c>
      <c r="B495" s="1">
        <f>B494/(1+$B$467)^B480</f>
        <v>106644.14414414413</v>
      </c>
      <c r="C495" s="1">
        <f>C494/(1+$B$467)^C480</f>
        <v>100032.46489732974</v>
      </c>
      <c r="D495" s="1">
        <f>D494/(1+$B$467)^D480</f>
        <v>93826.478048537931</v>
      </c>
      <c r="E495" s="1">
        <f>E494/(1+$B$467)^E480</f>
        <v>1221023.7995482697</v>
      </c>
    </row>
    <row r="497" spans="1:2" x14ac:dyDescent="0.45">
      <c r="A497" s="17" t="s">
        <v>1073</v>
      </c>
      <c r="B497" s="456">
        <f>SUM(B495:E495)</f>
        <v>1521526.8866382814</v>
      </c>
    </row>
    <row r="499" spans="1:2" x14ac:dyDescent="0.45">
      <c r="A499" t="s">
        <v>1133</v>
      </c>
    </row>
  </sheetData>
  <mergeCells count="22">
    <mergeCell ref="A391:E396"/>
    <mergeCell ref="A409:E415"/>
    <mergeCell ref="A400:E407"/>
    <mergeCell ref="A250:F252"/>
    <mergeCell ref="D140:E141"/>
    <mergeCell ref="A168:L170"/>
    <mergeCell ref="A213:I214"/>
    <mergeCell ref="A218:H220"/>
    <mergeCell ref="A224:G225"/>
    <mergeCell ref="A227:G227"/>
    <mergeCell ref="A336:D345"/>
    <mergeCell ref="A254:F257"/>
    <mergeCell ref="A259:F261"/>
    <mergeCell ref="A262:F263"/>
    <mergeCell ref="A265:F267"/>
    <mergeCell ref="G141:I146"/>
    <mergeCell ref="D143:E144"/>
    <mergeCell ref="B33:E33"/>
    <mergeCell ref="A78:L80"/>
    <mergeCell ref="A102:L102"/>
    <mergeCell ref="A103:L103"/>
    <mergeCell ref="A107:E11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51"/>
  <sheetViews>
    <sheetView topLeftCell="A129" workbookViewId="0">
      <selection activeCell="D144" sqref="D144"/>
    </sheetView>
  </sheetViews>
  <sheetFormatPr defaultRowHeight="14.25" x14ac:dyDescent="0.45"/>
  <cols>
    <col min="2" max="3" width="13.3984375" bestFit="1" customWidth="1"/>
  </cols>
  <sheetData>
    <row r="1" spans="1:12" s="33" customFormat="1" x14ac:dyDescent="0.45">
      <c r="A1" s="34">
        <v>1</v>
      </c>
    </row>
    <row r="3" spans="1:12" x14ac:dyDescent="0.45">
      <c r="A3" s="465" t="s">
        <v>825</v>
      </c>
      <c r="B3" s="465"/>
      <c r="C3" s="465"/>
      <c r="D3" s="465"/>
      <c r="E3" s="465"/>
      <c r="F3" s="465"/>
      <c r="G3" s="465"/>
      <c r="H3" s="465"/>
      <c r="I3" s="465"/>
      <c r="J3" s="465"/>
      <c r="K3" s="465"/>
      <c r="L3" s="465"/>
    </row>
    <row r="4" spans="1:12" x14ac:dyDescent="0.45">
      <c r="A4" s="465"/>
      <c r="B4" s="465"/>
      <c r="C4" s="465"/>
      <c r="D4" s="465"/>
      <c r="E4" s="465"/>
      <c r="F4" s="465"/>
      <c r="G4" s="465"/>
      <c r="H4" s="465"/>
      <c r="I4" s="465"/>
      <c r="J4" s="465"/>
      <c r="K4" s="465"/>
      <c r="L4" s="465"/>
    </row>
    <row r="5" spans="1:12" x14ac:dyDescent="0.45">
      <c r="A5" s="465"/>
      <c r="B5" s="465"/>
      <c r="C5" s="465"/>
      <c r="D5" s="465"/>
      <c r="E5" s="465"/>
      <c r="F5" s="465"/>
      <c r="G5" s="465"/>
      <c r="H5" s="465"/>
      <c r="I5" s="465"/>
      <c r="J5" s="465"/>
      <c r="K5" s="465"/>
      <c r="L5" s="465"/>
    </row>
    <row r="6" spans="1:12" x14ac:dyDescent="0.45">
      <c r="A6" s="465"/>
      <c r="B6" s="465"/>
      <c r="C6" s="465"/>
      <c r="D6" s="465"/>
      <c r="E6" s="465"/>
      <c r="F6" s="465"/>
      <c r="G6" s="465"/>
      <c r="H6" s="465"/>
      <c r="I6" s="465"/>
      <c r="J6" s="465"/>
      <c r="K6" s="465"/>
      <c r="L6" s="465"/>
    </row>
    <row r="7" spans="1:12" x14ac:dyDescent="0.45">
      <c r="A7" s="465"/>
      <c r="B7" s="465"/>
      <c r="C7" s="465"/>
      <c r="D7" s="465"/>
      <c r="E7" s="465"/>
      <c r="F7" s="465"/>
      <c r="G7" s="465"/>
      <c r="H7" s="465"/>
      <c r="I7" s="465"/>
      <c r="J7" s="465"/>
      <c r="K7" s="465"/>
      <c r="L7" s="465"/>
    </row>
    <row r="8" spans="1:12" x14ac:dyDescent="0.45">
      <c r="A8" s="465"/>
      <c r="B8" s="465"/>
      <c r="C8" s="465"/>
      <c r="D8" s="465"/>
      <c r="E8" s="465"/>
      <c r="F8" s="465"/>
      <c r="G8" s="465"/>
      <c r="H8" s="465"/>
      <c r="I8" s="465"/>
      <c r="J8" s="465"/>
      <c r="K8" s="465"/>
      <c r="L8" s="465"/>
    </row>
    <row r="10" spans="1:12" ht="14.25" customHeight="1" x14ac:dyDescent="0.45">
      <c r="A10" s="465" t="s">
        <v>826</v>
      </c>
      <c r="B10" s="465"/>
      <c r="C10" s="465"/>
      <c r="D10" s="465"/>
      <c r="E10" s="465"/>
      <c r="F10" s="465"/>
      <c r="G10" s="465"/>
      <c r="H10" s="465"/>
      <c r="I10" s="465"/>
      <c r="J10" s="465"/>
      <c r="K10" s="465"/>
      <c r="L10" s="465"/>
    </row>
    <row r="11" spans="1:12" x14ac:dyDescent="0.45">
      <c r="A11" s="465"/>
      <c r="B11" s="465"/>
      <c r="C11" s="465"/>
      <c r="D11" s="465"/>
      <c r="E11" s="465"/>
      <c r="F11" s="465"/>
      <c r="G11" s="465"/>
      <c r="H11" s="465"/>
      <c r="I11" s="465"/>
      <c r="J11" s="465"/>
      <c r="K11" s="465"/>
      <c r="L11" s="465"/>
    </row>
    <row r="12" spans="1:12" x14ac:dyDescent="0.45">
      <c r="A12" s="81"/>
      <c r="B12" s="81"/>
      <c r="C12" s="81"/>
      <c r="D12" s="81"/>
      <c r="E12" s="81"/>
      <c r="F12" s="81"/>
      <c r="G12" s="81"/>
      <c r="H12" s="81"/>
      <c r="I12" s="81"/>
      <c r="J12" s="81"/>
      <c r="K12" s="81"/>
      <c r="L12" s="81"/>
    </row>
    <row r="13" spans="1:12" x14ac:dyDescent="0.45">
      <c r="A13" s="465" t="s">
        <v>827</v>
      </c>
      <c r="B13" s="465"/>
      <c r="C13" s="465"/>
      <c r="D13" s="465"/>
      <c r="E13" s="465"/>
      <c r="F13" s="465"/>
      <c r="G13" s="465"/>
      <c r="H13" s="465"/>
      <c r="I13" s="465"/>
      <c r="J13" s="465"/>
      <c r="K13" s="465"/>
      <c r="L13" s="465"/>
    </row>
    <row r="14" spans="1:12" x14ac:dyDescent="0.45">
      <c r="A14" s="465"/>
      <c r="B14" s="465"/>
      <c r="C14" s="465"/>
      <c r="D14" s="465"/>
      <c r="E14" s="465"/>
      <c r="F14" s="465"/>
      <c r="G14" s="465"/>
      <c r="H14" s="465"/>
      <c r="I14" s="465"/>
      <c r="J14" s="465"/>
      <c r="K14" s="465"/>
      <c r="L14" s="465"/>
    </row>
    <row r="15" spans="1:12" x14ac:dyDescent="0.45">
      <c r="A15" s="465"/>
      <c r="B15" s="465"/>
      <c r="C15" s="465"/>
      <c r="D15" s="465"/>
      <c r="E15" s="465"/>
      <c r="F15" s="465"/>
      <c r="G15" s="465"/>
      <c r="H15" s="465"/>
      <c r="I15" s="465"/>
      <c r="J15" s="465"/>
      <c r="K15" s="465"/>
      <c r="L15" s="465"/>
    </row>
    <row r="16" spans="1:12" x14ac:dyDescent="0.45">
      <c r="A16" s="465"/>
      <c r="B16" s="465"/>
      <c r="C16" s="465"/>
      <c r="D16" s="465"/>
      <c r="E16" s="465"/>
      <c r="F16" s="465"/>
      <c r="G16" s="465"/>
      <c r="H16" s="465"/>
      <c r="I16" s="465"/>
      <c r="J16" s="465"/>
      <c r="K16" s="465"/>
      <c r="L16" s="465"/>
    </row>
    <row r="17" spans="1:12" x14ac:dyDescent="0.45">
      <c r="A17" s="465"/>
      <c r="B17" s="465"/>
      <c r="C17" s="465"/>
      <c r="D17" s="465"/>
      <c r="E17" s="465"/>
      <c r="F17" s="465"/>
      <c r="G17" s="465"/>
      <c r="H17" s="465"/>
      <c r="I17" s="465"/>
      <c r="J17" s="465"/>
      <c r="K17" s="465"/>
      <c r="L17" s="465"/>
    </row>
    <row r="19" spans="1:12" x14ac:dyDescent="0.45">
      <c r="A19" s="464" t="s">
        <v>828</v>
      </c>
      <c r="B19" s="464"/>
      <c r="C19" s="464"/>
      <c r="D19" s="464"/>
      <c r="E19" s="464"/>
      <c r="F19" s="464"/>
      <c r="G19" s="464"/>
      <c r="H19" s="464"/>
      <c r="I19" s="464"/>
      <c r="J19" s="464"/>
      <c r="K19" s="464"/>
      <c r="L19" s="464"/>
    </row>
    <row r="20" spans="1:12" x14ac:dyDescent="0.45">
      <c r="A20" s="464"/>
      <c r="B20" s="464"/>
      <c r="C20" s="464"/>
      <c r="D20" s="464"/>
      <c r="E20" s="464"/>
      <c r="F20" s="464"/>
      <c r="G20" s="464"/>
      <c r="H20" s="464"/>
      <c r="I20" s="464"/>
      <c r="J20" s="464"/>
      <c r="K20" s="464"/>
      <c r="L20" s="464"/>
    </row>
    <row r="21" spans="1:12" x14ac:dyDescent="0.45">
      <c r="A21" s="464"/>
      <c r="B21" s="464"/>
      <c r="C21" s="464"/>
      <c r="D21" s="464"/>
      <c r="E21" s="464"/>
      <c r="F21" s="464"/>
      <c r="G21" s="464"/>
      <c r="H21" s="464"/>
      <c r="I21" s="464"/>
      <c r="J21" s="464"/>
      <c r="K21" s="464"/>
      <c r="L21" s="464"/>
    </row>
    <row r="22" spans="1:12" x14ac:dyDescent="0.45">
      <c r="A22" s="464"/>
      <c r="B22" s="464"/>
      <c r="C22" s="464"/>
      <c r="D22" s="464"/>
      <c r="E22" s="464"/>
      <c r="F22" s="464"/>
      <c r="G22" s="464"/>
      <c r="H22" s="464"/>
      <c r="I22" s="464"/>
      <c r="J22" s="464"/>
      <c r="K22" s="464"/>
      <c r="L22" s="464"/>
    </row>
    <row r="24" spans="1:12" s="33" customFormat="1" x14ac:dyDescent="0.45">
      <c r="A24" s="34">
        <v>2</v>
      </c>
    </row>
    <row r="26" spans="1:12" x14ac:dyDescent="0.45">
      <c r="A26" s="465" t="s">
        <v>829</v>
      </c>
      <c r="B26" s="465"/>
      <c r="C26" s="465"/>
      <c r="D26" s="465"/>
      <c r="E26" s="465"/>
      <c r="F26" s="465"/>
      <c r="G26" s="465"/>
      <c r="H26" s="465"/>
      <c r="I26" s="465"/>
      <c r="J26" s="465"/>
      <c r="K26" s="465"/>
      <c r="L26" s="465"/>
    </row>
    <row r="27" spans="1:12" x14ac:dyDescent="0.45">
      <c r="A27" s="465"/>
      <c r="B27" s="465"/>
      <c r="C27" s="465"/>
      <c r="D27" s="465"/>
      <c r="E27" s="465"/>
      <c r="F27" s="465"/>
      <c r="G27" s="465"/>
      <c r="H27" s="465"/>
      <c r="I27" s="465"/>
      <c r="J27" s="465"/>
      <c r="K27" s="465"/>
      <c r="L27" s="465"/>
    </row>
    <row r="28" spans="1:12" x14ac:dyDescent="0.45">
      <c r="A28" s="465"/>
      <c r="B28" s="465"/>
      <c r="C28" s="465"/>
      <c r="D28" s="465"/>
      <c r="E28" s="465"/>
      <c r="F28" s="465"/>
      <c r="G28" s="465"/>
      <c r="H28" s="465"/>
      <c r="I28" s="465"/>
      <c r="J28" s="465"/>
      <c r="K28" s="465"/>
      <c r="L28" s="465"/>
    </row>
    <row r="29" spans="1:12" x14ac:dyDescent="0.45">
      <c r="A29" s="465"/>
      <c r="B29" s="465"/>
      <c r="C29" s="465"/>
      <c r="D29" s="465"/>
      <c r="E29" s="465"/>
      <c r="F29" s="465"/>
      <c r="G29" s="465"/>
      <c r="H29" s="465"/>
      <c r="I29" s="465"/>
      <c r="J29" s="465"/>
      <c r="K29" s="465"/>
      <c r="L29" s="465"/>
    </row>
    <row r="30" spans="1:12" x14ac:dyDescent="0.45">
      <c r="A30" s="465"/>
      <c r="B30" s="465"/>
      <c r="C30" s="465"/>
      <c r="D30" s="465"/>
      <c r="E30" s="465"/>
      <c r="F30" s="465"/>
      <c r="G30" s="465"/>
      <c r="H30" s="465"/>
      <c r="I30" s="465"/>
      <c r="J30" s="465"/>
      <c r="K30" s="465"/>
      <c r="L30" s="465"/>
    </row>
    <row r="31" spans="1:12" x14ac:dyDescent="0.45">
      <c r="A31" s="465"/>
      <c r="B31" s="465"/>
      <c r="C31" s="465"/>
      <c r="D31" s="465"/>
      <c r="E31" s="465"/>
      <c r="F31" s="465"/>
      <c r="G31" s="465"/>
      <c r="H31" s="465"/>
      <c r="I31" s="465"/>
      <c r="J31" s="465"/>
      <c r="K31" s="465"/>
      <c r="L31" s="465"/>
    </row>
    <row r="33" spans="1:12" x14ac:dyDescent="0.45">
      <c r="A33" s="314" t="s">
        <v>94</v>
      </c>
    </row>
    <row r="34" spans="1:12" x14ac:dyDescent="0.45">
      <c r="A34" s="17" t="s">
        <v>830</v>
      </c>
    </row>
    <row r="35" spans="1:12" x14ac:dyDescent="0.45">
      <c r="A35" s="462" t="s">
        <v>831</v>
      </c>
      <c r="B35" s="462"/>
      <c r="C35" s="462"/>
      <c r="D35" s="462"/>
      <c r="E35" s="462"/>
      <c r="F35" s="462"/>
      <c r="G35" s="462"/>
      <c r="H35" s="462"/>
      <c r="I35" s="462"/>
      <c r="J35" s="462"/>
      <c r="K35" s="462"/>
      <c r="L35" s="462"/>
    </row>
    <row r="36" spans="1:12" x14ac:dyDescent="0.45">
      <c r="A36" s="462"/>
      <c r="B36" s="462"/>
      <c r="C36" s="462"/>
      <c r="D36" s="462"/>
      <c r="E36" s="462"/>
      <c r="F36" s="462"/>
      <c r="G36" s="462"/>
      <c r="H36" s="462"/>
      <c r="I36" s="462"/>
      <c r="J36" s="462"/>
      <c r="K36" s="462"/>
      <c r="L36" s="462"/>
    </row>
    <row r="37" spans="1:12" x14ac:dyDescent="0.45">
      <c r="A37" s="462" t="s">
        <v>832</v>
      </c>
      <c r="B37" s="462"/>
      <c r="C37" s="462"/>
      <c r="D37" s="462"/>
      <c r="E37" s="462"/>
      <c r="F37" s="462"/>
      <c r="G37" s="462"/>
      <c r="H37" s="462"/>
      <c r="I37" s="462"/>
      <c r="J37" s="462"/>
      <c r="K37" s="462"/>
      <c r="L37" s="462"/>
    </row>
    <row r="38" spans="1:12" x14ac:dyDescent="0.45">
      <c r="A38" s="462"/>
      <c r="B38" s="462"/>
      <c r="C38" s="462"/>
      <c r="D38" s="462"/>
      <c r="E38" s="462"/>
      <c r="F38" s="462"/>
      <c r="G38" s="462"/>
      <c r="H38" s="462"/>
      <c r="I38" s="462"/>
      <c r="J38" s="462"/>
      <c r="K38" s="462"/>
      <c r="L38" s="462"/>
    </row>
    <row r="40" spans="1:12" x14ac:dyDescent="0.45">
      <c r="A40" s="17" t="s">
        <v>835</v>
      </c>
    </row>
    <row r="41" spans="1:12" ht="14.25" customHeight="1" x14ac:dyDescent="0.45">
      <c r="A41" s="462" t="s">
        <v>833</v>
      </c>
      <c r="B41" s="462"/>
      <c r="C41" s="462"/>
      <c r="D41" s="462"/>
      <c r="E41" s="462"/>
      <c r="F41" s="462"/>
      <c r="G41" s="462"/>
      <c r="H41" s="462"/>
      <c r="I41" s="462"/>
      <c r="J41" s="462"/>
      <c r="K41" s="462"/>
      <c r="L41" s="462"/>
    </row>
    <row r="42" spans="1:12" x14ac:dyDescent="0.45">
      <c r="A42" s="462"/>
      <c r="B42" s="462"/>
      <c r="C42" s="462"/>
      <c r="D42" s="462"/>
      <c r="E42" s="462"/>
      <c r="F42" s="462"/>
      <c r="G42" s="462"/>
      <c r="H42" s="462"/>
      <c r="I42" s="462"/>
      <c r="J42" s="462"/>
      <c r="K42" s="462"/>
      <c r="L42" s="462"/>
    </row>
    <row r="43" spans="1:12" x14ac:dyDescent="0.45">
      <c r="A43" s="462"/>
      <c r="B43" s="462"/>
      <c r="C43" s="462"/>
      <c r="D43" s="462"/>
      <c r="E43" s="462"/>
      <c r="F43" s="462"/>
      <c r="G43" s="462"/>
      <c r="H43" s="462"/>
      <c r="I43" s="462"/>
      <c r="J43" s="462"/>
      <c r="K43" s="462"/>
      <c r="L43" s="462"/>
    </row>
    <row r="44" spans="1:12" x14ac:dyDescent="0.45">
      <c r="A44" s="462" t="s">
        <v>834</v>
      </c>
      <c r="B44" s="462"/>
      <c r="C44" s="462"/>
      <c r="D44" s="462"/>
      <c r="E44" s="462"/>
      <c r="F44" s="462"/>
      <c r="G44" s="462"/>
      <c r="H44" s="462"/>
      <c r="I44" s="462"/>
      <c r="J44" s="462"/>
      <c r="K44" s="462"/>
      <c r="L44" s="462"/>
    </row>
    <row r="45" spans="1:12" x14ac:dyDescent="0.45">
      <c r="A45" s="462"/>
      <c r="B45" s="462"/>
      <c r="C45" s="462"/>
      <c r="D45" s="462"/>
      <c r="E45" s="462"/>
      <c r="F45" s="462"/>
      <c r="G45" s="462"/>
      <c r="H45" s="462"/>
      <c r="I45" s="462"/>
      <c r="J45" s="462"/>
      <c r="K45" s="462"/>
      <c r="L45" s="462"/>
    </row>
    <row r="46" spans="1:12" x14ac:dyDescent="0.45">
      <c r="A46" s="462"/>
      <c r="B46" s="462"/>
      <c r="C46" s="462"/>
      <c r="D46" s="462"/>
      <c r="E46" s="462"/>
      <c r="F46" s="462"/>
      <c r="G46" s="462"/>
      <c r="H46" s="462"/>
      <c r="I46" s="462"/>
      <c r="J46" s="462"/>
      <c r="K46" s="462"/>
      <c r="L46" s="462"/>
    </row>
    <row r="48" spans="1:12" x14ac:dyDescent="0.45">
      <c r="A48" t="s">
        <v>836</v>
      </c>
    </row>
    <row r="50" spans="1:12" x14ac:dyDescent="0.45">
      <c r="A50" t="s">
        <v>838</v>
      </c>
      <c r="B50" s="99">
        <v>0.08</v>
      </c>
    </row>
    <row r="51" spans="1:12" x14ac:dyDescent="0.45">
      <c r="A51" t="s">
        <v>837</v>
      </c>
      <c r="C51">
        <v>10000</v>
      </c>
    </row>
    <row r="53" spans="1:12" x14ac:dyDescent="0.45">
      <c r="A53" t="s">
        <v>839</v>
      </c>
    </row>
    <row r="54" spans="1:12" x14ac:dyDescent="0.45">
      <c r="A54" s="333">
        <f>C51/B50</f>
        <v>125000</v>
      </c>
    </row>
    <row r="56" spans="1:12" x14ac:dyDescent="0.45">
      <c r="A56" s="464" t="s">
        <v>840</v>
      </c>
      <c r="B56" s="464"/>
      <c r="C56" s="464"/>
      <c r="D56" s="464"/>
      <c r="E56" s="464"/>
      <c r="F56" s="464"/>
      <c r="G56" s="464"/>
      <c r="H56" s="464"/>
      <c r="I56" s="464"/>
      <c r="J56" s="464"/>
      <c r="K56" s="464"/>
      <c r="L56" s="464"/>
    </row>
    <row r="57" spans="1:12" x14ac:dyDescent="0.45">
      <c r="A57" s="464"/>
      <c r="B57" s="464"/>
      <c r="C57" s="464"/>
      <c r="D57" s="464"/>
      <c r="E57" s="464"/>
      <c r="F57" s="464"/>
      <c r="G57" s="464"/>
      <c r="H57" s="464"/>
      <c r="I57" s="464"/>
      <c r="J57" s="464"/>
      <c r="K57" s="464"/>
      <c r="L57" s="464"/>
    </row>
    <row r="58" spans="1:12" x14ac:dyDescent="0.45">
      <c r="A58" s="464"/>
      <c r="B58" s="464"/>
      <c r="C58" s="464"/>
      <c r="D58" s="464"/>
      <c r="E58" s="464"/>
      <c r="F58" s="464"/>
      <c r="G58" s="464"/>
      <c r="H58" s="464"/>
      <c r="I58" s="464"/>
      <c r="J58" s="464"/>
      <c r="K58" s="464"/>
      <c r="L58" s="464"/>
    </row>
    <row r="59" spans="1:12" x14ac:dyDescent="0.45">
      <c r="A59" s="464"/>
      <c r="B59" s="464"/>
      <c r="C59" s="464"/>
      <c r="D59" s="464"/>
      <c r="E59" s="464"/>
      <c r="F59" s="464"/>
      <c r="G59" s="464"/>
      <c r="H59" s="464"/>
      <c r="I59" s="464"/>
      <c r="J59" s="464"/>
      <c r="K59" s="464"/>
      <c r="L59" s="464"/>
    </row>
    <row r="60" spans="1:12" x14ac:dyDescent="0.45">
      <c r="A60" s="464"/>
      <c r="B60" s="464"/>
      <c r="C60" s="464"/>
      <c r="D60" s="464"/>
      <c r="E60" s="464"/>
      <c r="F60" s="464"/>
      <c r="G60" s="464"/>
      <c r="H60" s="464"/>
      <c r="I60" s="464"/>
      <c r="J60" s="464"/>
      <c r="K60" s="464"/>
      <c r="L60" s="464"/>
    </row>
    <row r="62" spans="1:12" s="33" customFormat="1" x14ac:dyDescent="0.45">
      <c r="A62" s="34">
        <v>3</v>
      </c>
    </row>
    <row r="64" spans="1:12" x14ac:dyDescent="0.45">
      <c r="A64" s="465" t="s">
        <v>903</v>
      </c>
      <c r="B64" s="465"/>
      <c r="C64" s="465"/>
      <c r="D64" s="465"/>
      <c r="E64" s="465"/>
      <c r="F64" s="465"/>
      <c r="G64" s="465"/>
      <c r="H64" s="465"/>
      <c r="I64" s="465"/>
      <c r="J64" s="465"/>
    </row>
    <row r="65" spans="1:10" x14ac:dyDescent="0.45">
      <c r="A65" s="465"/>
      <c r="B65" s="465"/>
      <c r="C65" s="465"/>
      <c r="D65" s="465"/>
      <c r="E65" s="465"/>
      <c r="F65" s="465"/>
      <c r="G65" s="465"/>
      <c r="H65" s="465"/>
      <c r="I65" s="465"/>
      <c r="J65" s="465"/>
    </row>
    <row r="66" spans="1:10" x14ac:dyDescent="0.45">
      <c r="A66" s="465"/>
      <c r="B66" s="465"/>
      <c r="C66" s="465"/>
      <c r="D66" s="465"/>
      <c r="E66" s="465"/>
      <c r="F66" s="465"/>
      <c r="G66" s="465"/>
      <c r="H66" s="465"/>
      <c r="I66" s="465"/>
      <c r="J66" s="465"/>
    </row>
    <row r="67" spans="1:10" x14ac:dyDescent="0.45">
      <c r="A67" s="465"/>
      <c r="B67" s="465"/>
      <c r="C67" s="465"/>
      <c r="D67" s="465"/>
      <c r="E67" s="465"/>
      <c r="F67" s="465"/>
      <c r="G67" s="465"/>
      <c r="H67" s="465"/>
      <c r="I67" s="465"/>
      <c r="J67" s="465"/>
    </row>
    <row r="68" spans="1:10" x14ac:dyDescent="0.45">
      <c r="A68" s="465"/>
      <c r="B68" s="465"/>
      <c r="C68" s="465"/>
      <c r="D68" s="465"/>
      <c r="E68" s="465"/>
      <c r="F68" s="465"/>
      <c r="G68" s="465"/>
      <c r="H68" s="465"/>
      <c r="I68" s="465"/>
      <c r="J68" s="465"/>
    </row>
    <row r="69" spans="1:10" x14ac:dyDescent="0.45">
      <c r="A69" s="465"/>
      <c r="B69" s="465"/>
      <c r="C69" s="465"/>
      <c r="D69" s="465"/>
      <c r="E69" s="465"/>
      <c r="F69" s="465"/>
      <c r="G69" s="465"/>
      <c r="H69" s="465"/>
      <c r="I69" s="465"/>
      <c r="J69" s="465"/>
    </row>
    <row r="70" spans="1:10" x14ac:dyDescent="0.45">
      <c r="A70" s="465"/>
      <c r="B70" s="465"/>
      <c r="C70" s="465"/>
      <c r="D70" s="465"/>
      <c r="E70" s="465"/>
      <c r="F70" s="465"/>
      <c r="G70" s="465"/>
      <c r="H70" s="465"/>
      <c r="I70" s="465"/>
      <c r="J70" s="465"/>
    </row>
    <row r="71" spans="1:10" x14ac:dyDescent="0.45">
      <c r="A71" s="465"/>
      <c r="B71" s="465"/>
      <c r="C71" s="465"/>
      <c r="D71" s="465"/>
      <c r="E71" s="465"/>
      <c r="F71" s="465"/>
      <c r="G71" s="465"/>
      <c r="H71" s="465"/>
      <c r="I71" s="465"/>
      <c r="J71" s="465"/>
    </row>
    <row r="74" spans="1:10" ht="14.25" customHeight="1" x14ac:dyDescent="0.45">
      <c r="A74" s="465" t="s">
        <v>904</v>
      </c>
      <c r="B74" s="465"/>
      <c r="C74" s="465"/>
      <c r="D74" s="465"/>
      <c r="E74" s="465"/>
      <c r="F74" s="465"/>
      <c r="G74" s="465"/>
      <c r="H74" s="465"/>
      <c r="I74" s="465"/>
      <c r="J74" s="465"/>
    </row>
    <row r="75" spans="1:10" x14ac:dyDescent="0.45">
      <c r="A75" s="465"/>
      <c r="B75" s="465"/>
      <c r="C75" s="465"/>
      <c r="D75" s="465"/>
      <c r="E75" s="465"/>
      <c r="F75" s="465"/>
      <c r="G75" s="465"/>
      <c r="H75" s="465"/>
      <c r="I75" s="465"/>
      <c r="J75" s="465"/>
    </row>
    <row r="76" spans="1:10" x14ac:dyDescent="0.45">
      <c r="A76" s="465"/>
      <c r="B76" s="465"/>
      <c r="C76" s="465"/>
      <c r="D76" s="465"/>
      <c r="E76" s="465"/>
      <c r="F76" s="465"/>
      <c r="G76" s="465"/>
      <c r="H76" s="465"/>
      <c r="I76" s="465"/>
      <c r="J76" s="465"/>
    </row>
    <row r="77" spans="1:10" x14ac:dyDescent="0.45">
      <c r="A77" s="465"/>
      <c r="B77" s="465"/>
      <c r="C77" s="465"/>
      <c r="D77" s="465"/>
      <c r="E77" s="465"/>
      <c r="F77" s="465"/>
      <c r="G77" s="465"/>
      <c r="H77" s="465"/>
      <c r="I77" s="465"/>
      <c r="J77" s="465"/>
    </row>
    <row r="78" spans="1:10" x14ac:dyDescent="0.45">
      <c r="A78" s="465"/>
      <c r="B78" s="465"/>
      <c r="C78" s="465"/>
      <c r="D78" s="465"/>
      <c r="E78" s="465"/>
      <c r="F78" s="465"/>
      <c r="G78" s="465"/>
      <c r="H78" s="465"/>
      <c r="I78" s="465"/>
      <c r="J78" s="465"/>
    </row>
    <row r="79" spans="1:10" x14ac:dyDescent="0.45">
      <c r="A79" s="465"/>
      <c r="B79" s="465"/>
      <c r="C79" s="465"/>
      <c r="D79" s="465"/>
      <c r="E79" s="465"/>
      <c r="F79" s="465"/>
      <c r="G79" s="465"/>
      <c r="H79" s="465"/>
      <c r="I79" s="465"/>
      <c r="J79" s="465"/>
    </row>
    <row r="80" spans="1:10" x14ac:dyDescent="0.45">
      <c r="A80" s="465"/>
      <c r="B80" s="465"/>
      <c r="C80" s="465"/>
      <c r="D80" s="465"/>
      <c r="E80" s="465"/>
      <c r="F80" s="465"/>
      <c r="G80" s="465"/>
      <c r="H80" s="465"/>
      <c r="I80" s="465"/>
      <c r="J80" s="465"/>
    </row>
    <row r="81" spans="1:10" x14ac:dyDescent="0.45">
      <c r="A81" s="465"/>
      <c r="B81" s="465"/>
      <c r="C81" s="465"/>
      <c r="D81" s="465"/>
      <c r="E81" s="465"/>
      <c r="F81" s="465"/>
      <c r="G81" s="465"/>
      <c r="H81" s="465"/>
      <c r="I81" s="465"/>
      <c r="J81" s="465"/>
    </row>
    <row r="82" spans="1:10" x14ac:dyDescent="0.45">
      <c r="A82" s="465"/>
      <c r="B82" s="465"/>
      <c r="C82" s="465"/>
      <c r="D82" s="465"/>
      <c r="E82" s="465"/>
      <c r="F82" s="465"/>
      <c r="G82" s="465"/>
      <c r="H82" s="465"/>
      <c r="I82" s="465"/>
      <c r="J82" s="465"/>
    </row>
    <row r="84" spans="1:10" x14ac:dyDescent="0.45">
      <c r="A84" t="s">
        <v>836</v>
      </c>
    </row>
    <row r="86" spans="1:10" x14ac:dyDescent="0.45">
      <c r="A86" s="464" t="s">
        <v>905</v>
      </c>
      <c r="B86" s="464"/>
      <c r="C86" s="464"/>
      <c r="D86" s="464"/>
      <c r="E86" s="464"/>
      <c r="F86" s="464"/>
      <c r="G86" s="464"/>
      <c r="H86" s="464"/>
      <c r="I86" s="464"/>
      <c r="J86" s="464"/>
    </row>
    <row r="87" spans="1:10" x14ac:dyDescent="0.45">
      <c r="A87" s="464"/>
      <c r="B87" s="464"/>
      <c r="C87" s="464"/>
      <c r="D87" s="464"/>
      <c r="E87" s="464"/>
      <c r="F87" s="464"/>
      <c r="G87" s="464"/>
      <c r="H87" s="464"/>
      <c r="I87" s="464"/>
      <c r="J87" s="464"/>
    </row>
    <row r="88" spans="1:10" x14ac:dyDescent="0.45">
      <c r="A88" s="419">
        <f>1/25</f>
        <v>0.04</v>
      </c>
    </row>
    <row r="90" spans="1:10" s="33" customFormat="1" x14ac:dyDescent="0.45">
      <c r="A90" s="34">
        <v>4</v>
      </c>
    </row>
    <row r="92" spans="1:10" x14ac:dyDescent="0.45">
      <c r="A92" t="s">
        <v>912</v>
      </c>
    </row>
    <row r="93" spans="1:10" x14ac:dyDescent="0.45">
      <c r="A93" t="s">
        <v>918</v>
      </c>
    </row>
    <row r="95" spans="1:10" x14ac:dyDescent="0.45">
      <c r="A95" t="s">
        <v>913</v>
      </c>
    </row>
    <row r="96" spans="1:10" x14ac:dyDescent="0.45">
      <c r="A96" t="s">
        <v>914</v>
      </c>
      <c r="B96">
        <v>3800000</v>
      </c>
    </row>
    <row r="97" spans="1:3" x14ac:dyDescent="0.45">
      <c r="A97" t="s">
        <v>915</v>
      </c>
      <c r="B97">
        <v>280000</v>
      </c>
    </row>
    <row r="98" spans="1:3" x14ac:dyDescent="0.45">
      <c r="A98" t="s">
        <v>837</v>
      </c>
      <c r="C98">
        <f>B96-B97</f>
        <v>3520000</v>
      </c>
    </row>
    <row r="99" spans="1:3" x14ac:dyDescent="0.45">
      <c r="A99" t="s">
        <v>916</v>
      </c>
      <c r="B99" s="42">
        <v>5.5E-2</v>
      </c>
    </row>
    <row r="100" spans="1:3" x14ac:dyDescent="0.45">
      <c r="A100" t="s">
        <v>917</v>
      </c>
      <c r="C100" s="207">
        <f>C98/B99</f>
        <v>64000000</v>
      </c>
    </row>
    <row r="102" spans="1:3" s="33" customFormat="1" x14ac:dyDescent="0.45">
      <c r="A102" s="34">
        <v>5</v>
      </c>
    </row>
    <row r="104" spans="1:3" x14ac:dyDescent="0.45">
      <c r="A104" t="s">
        <v>1074</v>
      </c>
    </row>
    <row r="105" spans="1:3" x14ac:dyDescent="0.45">
      <c r="A105" t="s">
        <v>918</v>
      </c>
    </row>
    <row r="106" spans="1:3" x14ac:dyDescent="0.45">
      <c r="A106" t="s">
        <v>1075</v>
      </c>
    </row>
    <row r="108" spans="1:3" x14ac:dyDescent="0.45">
      <c r="A108" t="s">
        <v>1076</v>
      </c>
    </row>
    <row r="109" spans="1:3" x14ac:dyDescent="0.45">
      <c r="A109" t="s">
        <v>917</v>
      </c>
      <c r="C109" s="208">
        <f>10000000</f>
        <v>10000000</v>
      </c>
    </row>
    <row r="110" spans="1:3" x14ac:dyDescent="0.45">
      <c r="A110" t="s">
        <v>837</v>
      </c>
      <c r="C110" s="208">
        <f>C109*5%</f>
        <v>500000</v>
      </c>
    </row>
    <row r="112" spans="1:3" x14ac:dyDescent="0.45">
      <c r="A112" t="s">
        <v>1077</v>
      </c>
    </row>
    <row r="113" spans="1:9" x14ac:dyDescent="0.45">
      <c r="A113" t="s">
        <v>1078</v>
      </c>
      <c r="C113" s="449">
        <f>C110/8%</f>
        <v>6250000</v>
      </c>
    </row>
    <row r="115" spans="1:9" x14ac:dyDescent="0.45">
      <c r="A115" s="465" t="s">
        <v>1079</v>
      </c>
      <c r="B115" s="465"/>
      <c r="C115" s="465"/>
      <c r="D115" s="465"/>
      <c r="E115" s="465"/>
      <c r="F115" s="465"/>
      <c r="G115" s="465"/>
      <c r="H115" s="465"/>
      <c r="I115" s="465"/>
    </row>
    <row r="116" spans="1:9" x14ac:dyDescent="0.45">
      <c r="A116" s="465"/>
      <c r="B116" s="465"/>
      <c r="C116" s="465"/>
      <c r="D116" s="465"/>
      <c r="E116" s="465"/>
      <c r="F116" s="465"/>
      <c r="G116" s="465"/>
      <c r="H116" s="465"/>
      <c r="I116" s="465"/>
    </row>
    <row r="117" spans="1:9" x14ac:dyDescent="0.45">
      <c r="A117" s="465"/>
      <c r="B117" s="465"/>
      <c r="C117" s="465"/>
      <c r="D117" s="465"/>
      <c r="E117" s="465"/>
      <c r="F117" s="465"/>
      <c r="G117" s="465"/>
      <c r="H117" s="465"/>
      <c r="I117" s="465"/>
    </row>
    <row r="118" spans="1:9" x14ac:dyDescent="0.45">
      <c r="A118" s="465"/>
      <c r="B118" s="465"/>
      <c r="C118" s="465"/>
      <c r="D118" s="465"/>
      <c r="E118" s="465"/>
      <c r="F118" s="465"/>
      <c r="G118" s="465"/>
      <c r="H118" s="465"/>
      <c r="I118" s="465"/>
    </row>
    <row r="119" spans="1:9" x14ac:dyDescent="0.45">
      <c r="A119" s="465"/>
      <c r="B119" s="465"/>
      <c r="C119" s="465"/>
      <c r="D119" s="465"/>
      <c r="E119" s="465"/>
      <c r="F119" s="465"/>
      <c r="G119" s="465"/>
      <c r="H119" s="465"/>
      <c r="I119" s="465"/>
    </row>
    <row r="121" spans="1:9" s="33" customFormat="1" x14ac:dyDescent="0.45">
      <c r="A121" s="34">
        <v>6</v>
      </c>
    </row>
    <row r="123" spans="1:9" x14ac:dyDescent="0.45">
      <c r="A123" t="s">
        <v>1103</v>
      </c>
    </row>
    <row r="124" spans="1:9" x14ac:dyDescent="0.45">
      <c r="A124" t="s">
        <v>1104</v>
      </c>
    </row>
    <row r="126" spans="1:9" x14ac:dyDescent="0.45">
      <c r="A126" t="s">
        <v>1105</v>
      </c>
    </row>
    <row r="127" spans="1:9" x14ac:dyDescent="0.45">
      <c r="A127" t="s">
        <v>1106</v>
      </c>
    </row>
    <row r="129" spans="1:10" s="33" customFormat="1" x14ac:dyDescent="0.45">
      <c r="A129" s="34">
        <v>7</v>
      </c>
    </row>
    <row r="131" spans="1:10" x14ac:dyDescent="0.45">
      <c r="A131" s="463" t="s">
        <v>1143</v>
      </c>
      <c r="B131" s="463"/>
      <c r="C131" s="463"/>
      <c r="D131" s="463"/>
      <c r="E131" s="463"/>
      <c r="F131" s="463"/>
      <c r="G131" s="463"/>
      <c r="H131" s="463"/>
      <c r="I131" s="463"/>
      <c r="J131" s="463"/>
    </row>
    <row r="132" spans="1:10" x14ac:dyDescent="0.45">
      <c r="A132" s="463"/>
      <c r="B132" s="463"/>
      <c r="C132" s="463"/>
      <c r="D132" s="463"/>
      <c r="E132" s="463"/>
      <c r="F132" s="463"/>
      <c r="G132" s="463"/>
      <c r="H132" s="463"/>
      <c r="I132" s="463"/>
      <c r="J132" s="463"/>
    </row>
    <row r="133" spans="1:10" x14ac:dyDescent="0.45">
      <c r="A133" s="463"/>
      <c r="B133" s="463"/>
      <c r="C133" s="463"/>
      <c r="D133" s="463"/>
      <c r="E133" s="463"/>
      <c r="F133" s="463"/>
      <c r="G133" s="463"/>
      <c r="H133" s="463"/>
      <c r="I133" s="463"/>
      <c r="J133" s="463"/>
    </row>
    <row r="134" spans="1:10" x14ac:dyDescent="0.45">
      <c r="A134" s="463"/>
      <c r="B134" s="463"/>
      <c r="C134" s="463"/>
      <c r="D134" s="463"/>
      <c r="E134" s="463"/>
      <c r="F134" s="463"/>
      <c r="G134" s="463"/>
      <c r="H134" s="463"/>
      <c r="I134" s="463"/>
      <c r="J134" s="463"/>
    </row>
    <row r="135" spans="1:10" x14ac:dyDescent="0.45">
      <c r="A135" s="463"/>
      <c r="B135" s="463"/>
      <c r="C135" s="463"/>
      <c r="D135" s="463"/>
      <c r="E135" s="463"/>
      <c r="F135" s="463"/>
      <c r="G135" s="463"/>
      <c r="H135" s="463"/>
      <c r="I135" s="463"/>
      <c r="J135" s="463"/>
    </row>
    <row r="137" spans="1:10" x14ac:dyDescent="0.45">
      <c r="A137" s="463" t="s">
        <v>1144</v>
      </c>
      <c r="B137" s="463"/>
      <c r="C137" s="463"/>
      <c r="D137" s="463"/>
      <c r="E137" s="463"/>
      <c r="F137" s="463"/>
      <c r="G137" s="463"/>
      <c r="H137" s="463"/>
      <c r="I137" s="463"/>
    </row>
    <row r="138" spans="1:10" x14ac:dyDescent="0.45">
      <c r="A138" s="463"/>
      <c r="B138" s="463"/>
      <c r="C138" s="463"/>
      <c r="D138" s="463"/>
      <c r="E138" s="463"/>
      <c r="F138" s="463"/>
      <c r="G138" s="463"/>
      <c r="H138" s="463"/>
      <c r="I138" s="463"/>
    </row>
    <row r="139" spans="1:10" x14ac:dyDescent="0.45">
      <c r="A139" s="463"/>
      <c r="B139" s="463"/>
      <c r="C139" s="463"/>
      <c r="D139" s="463"/>
      <c r="E139" s="463"/>
      <c r="F139" s="463"/>
      <c r="G139" s="463"/>
      <c r="H139" s="463"/>
      <c r="I139" s="463"/>
    </row>
    <row r="140" spans="1:10" x14ac:dyDescent="0.45">
      <c r="A140" s="463"/>
      <c r="B140" s="463"/>
      <c r="C140" s="463"/>
      <c r="D140" s="463"/>
      <c r="E140" s="463"/>
      <c r="F140" s="463"/>
      <c r="G140" s="463"/>
      <c r="H140" s="463"/>
      <c r="I140" s="463"/>
    </row>
    <row r="142" spans="1:10" x14ac:dyDescent="0.45">
      <c r="A142" t="s">
        <v>1145</v>
      </c>
    </row>
    <row r="143" spans="1:10" x14ac:dyDescent="0.45">
      <c r="A143" t="s">
        <v>1146</v>
      </c>
    </row>
    <row r="144" spans="1:10" x14ac:dyDescent="0.45">
      <c r="A144" t="s">
        <v>1147</v>
      </c>
    </row>
    <row r="145" spans="1:5" x14ac:dyDescent="0.45">
      <c r="A145" t="s">
        <v>1148</v>
      </c>
      <c r="E145">
        <f>100/5%</f>
        <v>2000</v>
      </c>
    </row>
    <row r="146" spans="1:5" x14ac:dyDescent="0.45">
      <c r="A146" t="s">
        <v>1149</v>
      </c>
      <c r="E146">
        <f>100/6%</f>
        <v>1666.6666666666667</v>
      </c>
    </row>
    <row r="148" spans="1:5" x14ac:dyDescent="0.45">
      <c r="A148" t="s">
        <v>1150</v>
      </c>
    </row>
    <row r="149" spans="1:5" x14ac:dyDescent="0.45">
      <c r="A149" t="s">
        <v>1151</v>
      </c>
      <c r="B149" s="42">
        <v>0.125</v>
      </c>
    </row>
    <row r="150" spans="1:5" x14ac:dyDescent="0.45">
      <c r="A150" t="s">
        <v>1152</v>
      </c>
      <c r="B150" s="1">
        <v>10000000</v>
      </c>
    </row>
    <row r="151" spans="1:5" x14ac:dyDescent="0.45">
      <c r="A151" t="s">
        <v>1153</v>
      </c>
      <c r="B151" s="207">
        <f>B149*B150</f>
        <v>1250000</v>
      </c>
    </row>
  </sheetData>
  <mergeCells count="16">
    <mergeCell ref="A131:J135"/>
    <mergeCell ref="A137:I140"/>
    <mergeCell ref="A115:I119"/>
    <mergeCell ref="A64:J71"/>
    <mergeCell ref="A74:J82"/>
    <mergeCell ref="A86:J87"/>
    <mergeCell ref="A3:L8"/>
    <mergeCell ref="A10:L11"/>
    <mergeCell ref="A13:L17"/>
    <mergeCell ref="A19:L22"/>
    <mergeCell ref="A26:L31"/>
    <mergeCell ref="A35:L36"/>
    <mergeCell ref="A37:L38"/>
    <mergeCell ref="A41:L43"/>
    <mergeCell ref="A44:L46"/>
    <mergeCell ref="A56:L6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7E5B001EEC3341AFF24366E48C4F25" ma:contentTypeVersion="4" ma:contentTypeDescription="Create a new document." ma:contentTypeScope="" ma:versionID="116681c19f3b75ff41153799736dc741">
  <xsd:schema xmlns:xsd="http://www.w3.org/2001/XMLSchema" xmlns:xs="http://www.w3.org/2001/XMLSchema" xmlns:p="http://schemas.microsoft.com/office/2006/metadata/properties" xmlns:ns2="8ac9e48b-7d3b-4422-8dfd-6f71db9a6578" xmlns:ns3="c5872d4f-af56-4284-99cf-4150546ee56a" targetNamespace="http://schemas.microsoft.com/office/2006/metadata/properties" ma:root="true" ma:fieldsID="19fabe9dd3fc744dc61429bd3ef5f2c5" ns2:_="" ns3:_="">
    <xsd:import namespace="8ac9e48b-7d3b-4422-8dfd-6f71db9a6578"/>
    <xsd:import namespace="c5872d4f-af56-4284-99cf-4150546ee56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c9e48b-7d3b-4422-8dfd-6f71db9a65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872d4f-af56-4284-99cf-4150546ee56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26C87E5-A7FC-4753-A289-1E3798347D9C}">
  <ds:schemaRefs>
    <ds:schemaRef ds:uri="http://schemas.microsoft.com/sharepoint/v3/contenttype/forms"/>
  </ds:schemaRefs>
</ds:datastoreItem>
</file>

<file path=customXml/itemProps2.xml><?xml version="1.0" encoding="utf-8"?>
<ds:datastoreItem xmlns:ds="http://schemas.openxmlformats.org/officeDocument/2006/customXml" ds:itemID="{EE78B3DE-C19C-4910-BFDF-EC99E80E3C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c9e48b-7d3b-4422-8dfd-6f71db9a6578"/>
    <ds:schemaRef ds:uri="c5872d4f-af56-4284-99cf-4150546ee5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3B22BBE-940B-408D-841F-8F28E75F4295}">
  <ds:schemaRefs>
    <ds:schemaRef ds:uri="http://schemas.openxmlformats.org/package/2006/metadata/core-properties"/>
    <ds:schemaRef ds:uri="http://purl.org/dc/elements/1.1/"/>
    <ds:schemaRef ds:uri="http://schemas.microsoft.com/office/infopath/2007/PartnerControls"/>
    <ds:schemaRef ds:uri="http://www.w3.org/XML/1998/namespace"/>
    <ds:schemaRef ds:uri="http://schemas.microsoft.com/office/2006/documentManagement/types"/>
    <ds:schemaRef ds:uri="http://schemas.microsoft.com/office/2006/metadata/properties"/>
    <ds:schemaRef ds:uri="http://purl.org/dc/terms/"/>
    <ds:schemaRef ds:uri="http://purl.org/dc/dcmitype/"/>
    <ds:schemaRef ds:uri="c5872d4f-af56-4284-99cf-4150546ee56a"/>
    <ds:schemaRef ds:uri="8ac9e48b-7d3b-4422-8dfd-6f71db9a657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8</vt:i4>
      </vt:variant>
    </vt:vector>
  </HeadingPairs>
  <TitlesOfParts>
    <vt:vector size="8" baseType="lpstr">
      <vt:lpstr>Information</vt:lpstr>
      <vt:lpstr>LU1</vt:lpstr>
      <vt:lpstr>LU2</vt:lpstr>
      <vt:lpstr>LU3</vt:lpstr>
      <vt:lpstr>LU4</vt:lpstr>
      <vt:lpstr>LU5</vt:lpstr>
      <vt:lpstr>LU6</vt:lpstr>
      <vt:lpstr>LU7</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Marija</dc:creator>
  <cp:keywords/>
  <dc:description/>
  <cp:lastModifiedBy>Tex Staal</cp:lastModifiedBy>
  <cp:revision/>
  <dcterms:created xsi:type="dcterms:W3CDTF">2022-05-27T19:19:28Z</dcterms:created>
  <dcterms:modified xsi:type="dcterms:W3CDTF">2026-05-18T15:17:51Z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0x010100367E5B001EEC3341AFF24366E48C4F25</vt:lpwstr>
  </property>
</Properties>
</file>