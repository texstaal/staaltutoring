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ff2e7bfdec17ef34/Documenten/Bijles/FIN2/FIN2 Documenten/"/>
    </mc:Choice>
  </mc:AlternateContent>
  <xr:revisionPtr revIDLastSave="406" documentId="13_ncr:1_{6DF1B19A-1772-473D-B333-963286B90CE4}" xr6:coauthVersionLast="47" xr6:coauthVersionMax="47" xr10:uidLastSave="{148F8E26-3C42-4282-93B2-72CF296BFDF1}"/>
  <bookViews>
    <workbookView xWindow="-98" yWindow="-98" windowWidth="24196" windowHeight="14476" activeTab="6" xr2:uid="{00000000-000D-0000-FFFF-FFFF00000000}"/>
  </bookViews>
  <sheets>
    <sheet name="LU1" sheetId="11" r:id="rId1"/>
    <sheet name="LU2" sheetId="10" r:id="rId2"/>
    <sheet name="LU3" sheetId="3" r:id="rId3"/>
    <sheet name="LU4" sheetId="4" r:id="rId4"/>
    <sheet name="LU5" sheetId="5" r:id="rId5"/>
    <sheet name="LU6" sheetId="6" r:id="rId6"/>
    <sheet name="LU7"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3" l="1"/>
  <c r="G8" i="3"/>
  <c r="G9" i="3"/>
  <c r="G10" i="3"/>
  <c r="G11" i="3"/>
  <c r="G12" i="3"/>
  <c r="G13" i="3"/>
  <c r="G6" i="3"/>
  <c r="G183" i="10"/>
  <c r="G181" i="10"/>
  <c r="G176" i="10"/>
  <c r="G175" i="10"/>
  <c r="A25" i="11"/>
  <c r="M60" i="11"/>
  <c r="M62" i="11"/>
  <c r="M65" i="11"/>
  <c r="B92" i="11"/>
  <c r="C92" i="11"/>
  <c r="B105" i="11"/>
  <c r="C105" i="11"/>
  <c r="F110" i="11"/>
  <c r="F115" i="11" s="1"/>
  <c r="F122" i="11" s="1"/>
  <c r="F131" i="11" s="1"/>
  <c r="F133" i="11" s="1"/>
  <c r="F111" i="11"/>
  <c r="F112" i="11"/>
  <c r="F113" i="11"/>
  <c r="B115" i="11"/>
  <c r="C115" i="11"/>
  <c r="D115" i="11"/>
  <c r="E115" i="11"/>
  <c r="F118" i="11"/>
  <c r="F119" i="11"/>
  <c r="F120" i="11"/>
  <c r="F121" i="11"/>
  <c r="A146" i="11"/>
  <c r="A153" i="11"/>
  <c r="A168" i="11"/>
  <c r="B365" i="10"/>
  <c r="C365" i="10"/>
  <c r="F365" i="10"/>
  <c r="G365" i="10"/>
  <c r="B401" i="10"/>
  <c r="C401" i="10"/>
  <c r="F401" i="10"/>
  <c r="G401" i="10"/>
  <c r="A409" i="10"/>
  <c r="A473" i="10"/>
  <c r="A500" i="10"/>
  <c r="E226" i="3"/>
  <c r="E224" i="3"/>
  <c r="F134" i="11" l="1"/>
  <c r="F135" i="11"/>
  <c r="A67" i="9"/>
  <c r="A434" i="6"/>
  <c r="A58" i="9" l="1"/>
  <c r="K238" i="3" l="1"/>
  <c r="H238" i="3"/>
  <c r="G238" i="3"/>
  <c r="D238" i="3"/>
  <c r="J236" i="3"/>
  <c r="J235" i="3"/>
  <c r="D235" i="3"/>
  <c r="J231" i="3"/>
  <c r="H229" i="3"/>
  <c r="G229" i="3"/>
  <c r="K228" i="3"/>
  <c r="J228" i="3"/>
  <c r="D226" i="3"/>
  <c r="D236" i="3" s="1"/>
  <c r="C224" i="3"/>
  <c r="B224" i="3"/>
  <c r="C223" i="3"/>
  <c r="B223" i="3"/>
  <c r="C176" i="3"/>
  <c r="B176" i="3"/>
  <c r="C163" i="3"/>
  <c r="B163" i="3"/>
  <c r="H240" i="3" l="1"/>
  <c r="D240" i="3"/>
  <c r="K240" i="3"/>
  <c r="G240" i="3"/>
  <c r="J237" i="3" s="1"/>
  <c r="J238" i="3" s="1"/>
  <c r="J240" i="3" s="1"/>
  <c r="C225" i="3"/>
  <c r="B225" i="3"/>
  <c r="D224" i="3"/>
  <c r="D223" i="3"/>
  <c r="D225" i="3" l="1"/>
  <c r="A270" i="4"/>
  <c r="C235" i="4"/>
  <c r="B235" i="4"/>
  <c r="A225" i="4"/>
  <c r="A27" i="9"/>
  <c r="A281" i="5"/>
  <c r="A304" i="6"/>
  <c r="F722" i="3"/>
  <c r="F730" i="3" s="1"/>
  <c r="F733" i="3" s="1"/>
  <c r="E716" i="3"/>
  <c r="D716" i="3"/>
  <c r="E705" i="3"/>
  <c r="D705" i="3"/>
  <c r="B154" i="6" l="1"/>
  <c r="C144" i="4" l="1"/>
  <c r="B144" i="4"/>
  <c r="C103" i="3" l="1"/>
  <c r="B103" i="3"/>
  <c r="C90" i="3"/>
  <c r="B90" i="3"/>
  <c r="F49" i="3"/>
  <c r="E49" i="3"/>
  <c r="D49" i="3"/>
  <c r="I45" i="3"/>
  <c r="I48" i="3" s="1"/>
  <c r="F42" i="3"/>
  <c r="E42" i="3"/>
  <c r="D42" i="3"/>
</calcChain>
</file>

<file path=xl/sharedStrings.xml><?xml version="1.0" encoding="utf-8"?>
<sst xmlns="http://schemas.openxmlformats.org/spreadsheetml/2006/main" count="2178" uniqueCount="1030">
  <si>
    <t>Income Statement 2021</t>
  </si>
  <si>
    <t>Assets</t>
  </si>
  <si>
    <t>Liabilities</t>
  </si>
  <si>
    <t>Revenues</t>
  </si>
  <si>
    <t>COS VC</t>
  </si>
  <si>
    <t>Income</t>
  </si>
  <si>
    <t>Current Assets</t>
  </si>
  <si>
    <t>Chocolates</t>
  </si>
  <si>
    <t>Cash</t>
  </si>
  <si>
    <t>Accounts Payable</t>
  </si>
  <si>
    <t>Coffee</t>
  </si>
  <si>
    <t>AR</t>
  </si>
  <si>
    <t>Accrued salaries</t>
  </si>
  <si>
    <t>Cakes</t>
  </si>
  <si>
    <t>Marketable Securities</t>
  </si>
  <si>
    <t>Other accrued expenses</t>
  </si>
  <si>
    <t>Inventories</t>
  </si>
  <si>
    <t>Dividends payable</t>
  </si>
  <si>
    <t>Prepaid expenses</t>
  </si>
  <si>
    <t>Current Part of LTD</t>
  </si>
  <si>
    <t>Other</t>
  </si>
  <si>
    <t>Total current liabilities</t>
  </si>
  <si>
    <t>Maintenance costs</t>
  </si>
  <si>
    <t>Total Current Assets</t>
  </si>
  <si>
    <t>Electricity</t>
  </si>
  <si>
    <t>Marketing expenses</t>
  </si>
  <si>
    <t>Long Term Debt</t>
  </si>
  <si>
    <t>Depreciation</t>
  </si>
  <si>
    <t>Land</t>
  </si>
  <si>
    <t>Total costs</t>
  </si>
  <si>
    <t>Buildings</t>
  </si>
  <si>
    <t>Acc. Dep. Buildings</t>
  </si>
  <si>
    <t>Operating expenses</t>
  </si>
  <si>
    <t>Equipment</t>
  </si>
  <si>
    <t>Common Stock</t>
  </si>
  <si>
    <t>Operating income</t>
  </si>
  <si>
    <t>Accumulated Dep Eq.</t>
  </si>
  <si>
    <t>Additional paid in capital</t>
  </si>
  <si>
    <t>Other LT Asset</t>
  </si>
  <si>
    <t>Retained earnings</t>
  </si>
  <si>
    <t>Income tax expense</t>
  </si>
  <si>
    <t>Total LT Assets</t>
  </si>
  <si>
    <t>Total Equity</t>
  </si>
  <si>
    <t>Net income</t>
  </si>
  <si>
    <t>Liabilities and Equity</t>
  </si>
  <si>
    <t>Table 1</t>
  </si>
  <si>
    <t>Current ratio</t>
  </si>
  <si>
    <t>Table 1: Balance Sheet</t>
  </si>
  <si>
    <t> </t>
  </si>
  <si>
    <t>Other operational payables</t>
  </si>
  <si>
    <t>Prepaid internet fees</t>
  </si>
  <si>
    <t>Prepaid insurance</t>
  </si>
  <si>
    <t>Total Assets</t>
  </si>
  <si>
    <t>Income Statement 2022</t>
  </si>
  <si>
    <t>Departmental Income</t>
  </si>
  <si>
    <t>Rooms</t>
  </si>
  <si>
    <t>F&amp;B</t>
  </si>
  <si>
    <t>Wellness</t>
  </si>
  <si>
    <t>Total</t>
  </si>
  <si>
    <t>Other Op expenses</t>
  </si>
  <si>
    <t>EBITDA</t>
  </si>
  <si>
    <t>Depreciation Buildings</t>
  </si>
  <si>
    <t>Depreciation Equipment</t>
  </si>
  <si>
    <t>Interest expenses</t>
  </si>
  <si>
    <t>Gain on Sale of Buildings</t>
  </si>
  <si>
    <t>EBT</t>
  </si>
  <si>
    <t>Tax rate</t>
  </si>
  <si>
    <t>Table for question 2</t>
  </si>
  <si>
    <t>Table 8:</t>
  </si>
  <si>
    <t>Table 2: Income statement 2021</t>
  </si>
  <si>
    <t>Cost of Sales</t>
  </si>
  <si>
    <t>Payroll &amp; related</t>
  </si>
  <si>
    <t>Other  direct</t>
  </si>
  <si>
    <t>Accommodation</t>
  </si>
  <si>
    <t>Food</t>
  </si>
  <si>
    <t>Beverage</t>
  </si>
  <si>
    <t>Meetings</t>
  </si>
  <si>
    <t>Operated dept</t>
  </si>
  <si>
    <t>Undistributed expenses</t>
  </si>
  <si>
    <t>Admin</t>
  </si>
  <si>
    <t>Marketing</t>
  </si>
  <si>
    <t>Property operations</t>
  </si>
  <si>
    <t>Utilities</t>
  </si>
  <si>
    <t>Total undistributed expenses</t>
  </si>
  <si>
    <t>GOP</t>
  </si>
  <si>
    <t>Fixed charges</t>
  </si>
  <si>
    <t>Insurance</t>
  </si>
  <si>
    <t>Property taxes</t>
  </si>
  <si>
    <t>depreciation building</t>
  </si>
  <si>
    <t>EBIT</t>
  </si>
  <si>
    <t>Interest</t>
  </si>
  <si>
    <t>Corp inc tax 20%</t>
  </si>
  <si>
    <t>Net Income</t>
  </si>
  <si>
    <t>Sales</t>
  </si>
  <si>
    <t>Revenue</t>
  </si>
  <si>
    <r>
      <rPr>
        <b/>
        <sz val="12"/>
        <color theme="1"/>
        <rFont val="Calibri"/>
        <family val="2"/>
        <scheme val="minor"/>
      </rPr>
      <t>Table 1:</t>
    </r>
    <r>
      <rPr>
        <sz val="11"/>
        <color theme="1"/>
        <rFont val="Calibri"/>
        <family val="2"/>
        <scheme val="minor"/>
      </rPr>
      <t xml:space="preserve"> IHP, ACP and PDP for selected hospitality companies</t>
    </r>
  </si>
  <si>
    <t>Ticker</t>
  </si>
  <si>
    <t>Company</t>
  </si>
  <si>
    <t>Days Inventory</t>
  </si>
  <si>
    <t>Days Sales Outstanding</t>
  </si>
  <si>
    <t>Days Payable</t>
  </si>
  <si>
    <t>IHP</t>
  </si>
  <si>
    <t>ACP</t>
  </si>
  <si>
    <t>PDP</t>
  </si>
  <si>
    <t> HLT</t>
  </si>
  <si>
    <t>Hilton Worldwide Holdings Inc</t>
  </si>
  <si>
    <t> MAR</t>
  </si>
  <si>
    <t>Marriott International Inc</t>
  </si>
  <si>
    <t> HTHT</t>
  </si>
  <si>
    <t>Huazhu Group Ltd</t>
  </si>
  <si>
    <t> H</t>
  </si>
  <si>
    <t>Hyatt Hotels Corp</t>
  </si>
  <si>
    <t> CHH</t>
  </si>
  <si>
    <t>Choice Hotels International Inc</t>
  </si>
  <si>
    <t> WH</t>
  </si>
  <si>
    <t>Wyndham Hotels &amp; Resorts Inc</t>
  </si>
  <si>
    <t> STAY</t>
  </si>
  <si>
    <t>Extended Stay America Inc</t>
  </si>
  <si>
    <t> GHG</t>
  </si>
  <si>
    <t>GreenTree Hospitality Group Ltd</t>
  </si>
  <si>
    <t>Formulas for IHP, ACP and PDP:</t>
  </si>
  <si>
    <t xml:space="preserve">ACP = </t>
  </si>
  <si>
    <t>x 365</t>
  </si>
  <si>
    <t>IHP =</t>
  </si>
  <si>
    <t>INV</t>
  </si>
  <si>
    <t>PDP =</t>
  </si>
  <si>
    <t>AP</t>
  </si>
  <si>
    <t>COS</t>
  </si>
  <si>
    <r>
      <rPr>
        <b/>
        <sz val="9"/>
        <color rgb="FF000000"/>
        <rFont val="Calibri"/>
        <family val="2"/>
      </rPr>
      <t xml:space="preserve">   </t>
    </r>
    <r>
      <rPr>
        <sz val="9"/>
        <color rgb="FF000000"/>
        <rFont val="Calibri"/>
        <family val="2"/>
      </rPr>
      <t xml:space="preserve">      
1.1 Based on the information available in table 1, which of the companies is most likely to require the lowest funding of its operating working capital (OWC). Explain why. </t>
    </r>
    <r>
      <rPr>
        <b/>
        <sz val="9"/>
        <color rgb="FF000000"/>
        <rFont val="Calibri"/>
        <family val="2"/>
      </rPr>
      <t xml:space="preserve">(2 Pts)
</t>
    </r>
    <r>
      <rPr>
        <sz val="9"/>
        <color rgb="FF000000"/>
        <rFont val="Calibri"/>
        <family val="2"/>
      </rPr>
      <t>1.2 Assuming the current Accounts Payable (AP) of Hyatt Hotels is $12,000,000.00, by which amount will that AP account change if the company reduces the payment delay to its suppliers by 3.78 days?</t>
    </r>
    <r>
      <rPr>
        <b/>
        <sz val="9"/>
        <color rgb="FF000000"/>
        <rFont val="Calibri"/>
        <family val="2"/>
      </rPr>
      <t xml:space="preserve"> (3 pts)</t>
    </r>
  </si>
  <si>
    <t>Table: 2</t>
  </si>
  <si>
    <t>A</t>
  </si>
  <si>
    <t>B</t>
  </si>
  <si>
    <t>C</t>
  </si>
  <si>
    <t>Note:</t>
  </si>
  <si>
    <t>Current Asset</t>
  </si>
  <si>
    <t>Current assets = Accounts Receivable  + Inventory</t>
  </si>
  <si>
    <t>Fixed Asset</t>
  </si>
  <si>
    <t>Gross Profit</t>
  </si>
  <si>
    <t>Financing</t>
  </si>
  <si>
    <t>Short term debt</t>
  </si>
  <si>
    <t>Expenses</t>
  </si>
  <si>
    <t>Long term debt</t>
  </si>
  <si>
    <t>Formulas of IHP, ACP and PDP:</t>
  </si>
  <si>
    <t>Financial statements for Hotel ABC</t>
  </si>
  <si>
    <t>Table 1:</t>
  </si>
  <si>
    <t>Balance Sheet</t>
  </si>
  <si>
    <t>Marketable securities</t>
  </si>
  <si>
    <t>Accounts Receivable</t>
  </si>
  <si>
    <t>Food Inventory</t>
  </si>
  <si>
    <t>Prepaid expense</t>
  </si>
  <si>
    <t>Acc Depr Buildings</t>
  </si>
  <si>
    <t>Equip &amp; Furniture</t>
  </si>
  <si>
    <t>Acc depr Equipment &amp; Furniture</t>
  </si>
  <si>
    <t>Accrued payroll</t>
  </si>
  <si>
    <t>Dividends Payable</t>
  </si>
  <si>
    <t>Current part LT debt</t>
  </si>
  <si>
    <t>Long term Loan</t>
  </si>
  <si>
    <t>Paid in capital</t>
  </si>
  <si>
    <t>Retained Earnings</t>
  </si>
  <si>
    <t>Total Liabilities &amp; Equity</t>
  </si>
  <si>
    <t xml:space="preserve">Note: the Current part of the Long Term debt is the result of reclassification </t>
  </si>
  <si>
    <t xml:space="preserve">Table 2: </t>
  </si>
  <si>
    <t>Income statement for 2020</t>
  </si>
  <si>
    <t>Oth direct</t>
  </si>
  <si>
    <t>Dept Income</t>
  </si>
  <si>
    <t>Accomodation</t>
  </si>
  <si>
    <t>Operated departments</t>
  </si>
  <si>
    <t>Gain on sale of Equipment</t>
  </si>
  <si>
    <t xml:space="preserve"> 
1.1 Calculate the Total Inventory Turnover for hotel ABC in 2020 (2 pts)
1.2 The manager keeps insisting that the  turnover should be increased.  Explain clearly, with at least two specific examples, why the manager is right from a financial perspective (2 pts)</t>
  </si>
  <si>
    <t>1. Calculate the IHP, PDP and ACP of the company (3)</t>
  </si>
  <si>
    <t>2. Calculate the CCC of the company (1)</t>
  </si>
  <si>
    <t>3. Calculate the new Net working capital if the payment terms to the suppliers decrease by 2 days (4)</t>
  </si>
  <si>
    <t>4. Explain how the decrease in payment terms impacts the financing of the company (2).</t>
  </si>
  <si>
    <t>Income Statement</t>
  </si>
  <si>
    <t>Payroll</t>
  </si>
  <si>
    <t>Total Operated Departments</t>
  </si>
  <si>
    <t>Undistributed Expenses</t>
  </si>
  <si>
    <t>Administration</t>
  </si>
  <si>
    <t>Accumulated depreciation buildings</t>
  </si>
  <si>
    <t>Marketing &amp; Sales</t>
  </si>
  <si>
    <t>Equipment &amp; Furniture</t>
  </si>
  <si>
    <t>Property, Operations &amp; Maintenance</t>
  </si>
  <si>
    <t>Accumulated depreciation Equipment &amp; Furniture</t>
  </si>
  <si>
    <t>Total Undistributed Expenses</t>
  </si>
  <si>
    <t>Property Taxes</t>
  </si>
  <si>
    <t>Current part Long Term Debt</t>
  </si>
  <si>
    <t>Depreciation Equipment &amp; Furniture</t>
  </si>
  <si>
    <t>Loss on the sale of Equipment</t>
  </si>
  <si>
    <t>Additional Paid in Capital</t>
  </si>
  <si>
    <t>Corporate Income Tax 30%</t>
  </si>
  <si>
    <r>
      <rPr>
        <sz val="12"/>
        <color rgb="FF000000"/>
        <rFont val="Calibri"/>
        <family val="2"/>
      </rPr>
      <t xml:space="preserve">
6.1 Calculate the cash conversion cycle. Assume all sales are on credit. Show your calculations and use Income Statement and Balance Sheet directly above this question (</t>
    </r>
    <r>
      <rPr>
        <b/>
        <sz val="12"/>
        <color rgb="FF000000"/>
        <rFont val="Calibri"/>
        <family val="2"/>
      </rPr>
      <t>4 pts</t>
    </r>
    <r>
      <rPr>
        <sz val="12"/>
        <color rgb="FF000000"/>
        <rFont val="Calibri"/>
        <family val="2"/>
      </rPr>
      <t>)                                                                                                                                                                                                                                                                                                                  6.2 The cash conversion cycle used to be lower in the past than you have calculated at question 6.1; explain the consequences of this development on the financing needs of the company (is more or less financing needed?). Again, explain, so do not just answer higher or lower! (</t>
    </r>
    <r>
      <rPr>
        <b/>
        <sz val="12"/>
        <color rgb="FF000000"/>
        <rFont val="Calibri"/>
        <family val="2"/>
      </rPr>
      <t>4pts)</t>
    </r>
    <r>
      <rPr>
        <sz val="12"/>
        <color rgb="FF000000"/>
        <rFont val="Calibri"/>
        <family val="2"/>
      </rPr>
      <t xml:space="preserve">									</t>
    </r>
  </si>
  <si>
    <t>q 1 NWC (Net Working Capital)  at the end of 2021 is different from NWC at the end of 2020. How big is the change? Show your calculation.</t>
  </si>
  <si>
    <r>
      <t xml:space="preserve">q 2 Identify </t>
    </r>
    <r>
      <rPr>
        <b/>
        <u/>
        <sz val="12"/>
        <color rgb="FF000000"/>
        <rFont val="Calibri"/>
        <family val="2"/>
      </rPr>
      <t>three</t>
    </r>
    <r>
      <rPr>
        <b/>
        <sz val="12"/>
        <color rgb="FF000000"/>
        <rFont val="Calibri"/>
        <family val="2"/>
      </rPr>
      <t xml:space="preserve"> balance sheet accounts that reflect this change. Indicate the direction of the change (up or down).</t>
    </r>
  </si>
  <si>
    <t>Chart 1: Accounts receivable (AHP), Inventory (IHP) and Payables (PDP) in days</t>
  </si>
  <si>
    <t xml:space="preserve">The chart above shows a monthly overview of the hotel's Accounts Receivable, Inventory and Accounts Payables in days.
</t>
  </si>
  <si>
    <r>
      <t xml:space="preserve">q 1 In which month(s) of the year will the </t>
    </r>
    <r>
      <rPr>
        <b/>
        <u/>
        <sz val="12"/>
        <color rgb="FF000000"/>
        <rFont val="Calibri"/>
        <family val="2"/>
        <scheme val="minor"/>
      </rPr>
      <t>shareholders</t>
    </r>
    <r>
      <rPr>
        <b/>
        <sz val="12"/>
        <color rgb="FF000000"/>
        <rFont val="Calibri"/>
        <family val="2"/>
        <scheme val="minor"/>
      </rPr>
      <t xml:space="preserve"> be happiest with the data in this chart?</t>
    </r>
  </si>
  <si>
    <t>q2  In which month(s) of the year is the Cash Conversion Cycle at its highest level?  Show the calculation.</t>
  </si>
  <si>
    <t>q 3 Name at least three actions the hotel could take to improve its cash position.</t>
  </si>
  <si>
    <t>It is known that shareholders, in general, prefer to have less rather than more Net Working Capital.</t>
  </si>
  <si>
    <t>q 1 Using the notion of 'opportunity cost', give a clear and logical explanation of this shareholder preference.</t>
  </si>
  <si>
    <t>q 2 In the light of this same preference, do you think shareholders prefer a high or a low Inventory Turnover?  Give a clear explanation.</t>
  </si>
  <si>
    <t>Table 2 Hotel BETA</t>
  </si>
  <si>
    <t>1.1.2020</t>
  </si>
  <si>
    <t>31.12.2020</t>
  </si>
  <si>
    <t>Food inventory</t>
  </si>
  <si>
    <t>?</t>
  </si>
  <si>
    <t>Food inventory turnover</t>
  </si>
  <si>
    <t>Cost of Food sold</t>
  </si>
  <si>
    <t>Christmas gift Iberico ham to employees</t>
  </si>
  <si>
    <r>
      <rPr>
        <b/>
        <sz val="12"/>
        <color rgb="FF000000"/>
        <rFont val="Calibri"/>
        <family val="2"/>
        <scheme val="minor"/>
      </rPr>
      <t>Q 2.1</t>
    </r>
    <r>
      <rPr>
        <sz val="12"/>
        <color rgb="FF000000"/>
        <rFont val="Calibri"/>
        <family val="2"/>
        <scheme val="minor"/>
      </rPr>
      <t xml:space="preserve"> Based on the info in table 2, please calculate the year end food inventory of Hotel Beta (3 points)
</t>
    </r>
    <r>
      <rPr>
        <b/>
        <sz val="12"/>
        <color rgb="FF000000"/>
        <rFont val="Calibri"/>
        <family val="2"/>
        <scheme val="minor"/>
      </rPr>
      <t>Q 2.2</t>
    </r>
    <r>
      <rPr>
        <sz val="12"/>
        <color rgb="FF000000"/>
        <rFont val="Calibri"/>
        <family val="2"/>
        <scheme val="minor"/>
      </rPr>
      <t xml:space="preserve"> In the year 2019, the food inventory turnover was 15. Do you like this development in 2020, why? Give three specific financial reasons. (3 points)
</t>
    </r>
  </si>
  <si>
    <t>Table 5 Beach Resort BV</t>
  </si>
  <si>
    <t>Euros</t>
  </si>
  <si>
    <t>31.12.2014</t>
  </si>
  <si>
    <t>31.12.2015</t>
  </si>
  <si>
    <t>31.12.2016</t>
  </si>
  <si>
    <t>31.12.2017</t>
  </si>
  <si>
    <t>Days</t>
  </si>
  <si>
    <t>Accounts receivable</t>
  </si>
  <si>
    <t>Accounts Collection</t>
  </si>
  <si>
    <t>Inventory Holding</t>
  </si>
  <si>
    <t>Accounts payable</t>
  </si>
  <si>
    <t>Payment Deferral</t>
  </si>
  <si>
    <r>
      <t xml:space="preserve">
</t>
    </r>
    <r>
      <rPr>
        <b/>
        <sz val="12"/>
        <color rgb="FF000000"/>
        <rFont val="Calibri"/>
        <family val="2"/>
        <scheme val="minor"/>
      </rPr>
      <t>Q 5.1</t>
    </r>
    <r>
      <rPr>
        <sz val="12"/>
        <color rgb="FF000000"/>
        <rFont val="Calibri"/>
        <family val="2"/>
        <scheme val="minor"/>
      </rPr>
      <t xml:space="preserve">   Based on table 5, please calculate Sales in </t>
    </r>
    <r>
      <rPr>
        <u/>
        <sz val="12"/>
        <color rgb="FF000000"/>
        <rFont val="Calibri"/>
        <family val="2"/>
        <scheme val="minor"/>
      </rPr>
      <t>2015</t>
    </r>
    <r>
      <rPr>
        <sz val="12"/>
        <color rgb="FF000000"/>
        <rFont val="Calibri"/>
        <family val="2"/>
        <scheme val="minor"/>
      </rPr>
      <t xml:space="preserve"> of Beachresort BV assuming 50% of the sales is on credit (3 points)
</t>
    </r>
    <r>
      <rPr>
        <b/>
        <sz val="12"/>
        <color rgb="FF000000"/>
        <rFont val="Calibri"/>
        <family val="2"/>
        <scheme val="minor"/>
      </rPr>
      <t>Q 5.2</t>
    </r>
    <r>
      <rPr>
        <sz val="12"/>
        <color rgb="FF000000"/>
        <rFont val="Calibri"/>
        <family val="2"/>
        <scheme val="minor"/>
      </rPr>
      <t xml:space="preserve">   Please calculate the COS in </t>
    </r>
    <r>
      <rPr>
        <u/>
        <sz val="12"/>
        <color rgb="FF000000"/>
        <rFont val="Calibri"/>
        <family val="2"/>
        <scheme val="minor"/>
      </rPr>
      <t>2016</t>
    </r>
    <r>
      <rPr>
        <sz val="12"/>
        <color rgb="FF000000"/>
        <rFont val="Calibri"/>
        <family val="2"/>
        <scheme val="minor"/>
      </rPr>
      <t xml:space="preserve"> (3 points)
</t>
    </r>
    <r>
      <rPr>
        <b/>
        <sz val="12"/>
        <color rgb="FF000000"/>
        <rFont val="Calibri"/>
        <family val="2"/>
        <scheme val="minor"/>
      </rPr>
      <t>Q 5.3</t>
    </r>
    <r>
      <rPr>
        <sz val="12"/>
        <color rgb="FF000000"/>
        <rFont val="Calibri"/>
        <family val="2"/>
        <scheme val="minor"/>
      </rPr>
      <t xml:space="preserve">   Please calculate the cash conversion cycle in </t>
    </r>
    <r>
      <rPr>
        <u/>
        <sz val="12"/>
        <color rgb="FF000000"/>
        <rFont val="Calibri"/>
        <family val="2"/>
        <scheme val="minor"/>
      </rPr>
      <t>2017</t>
    </r>
    <r>
      <rPr>
        <sz val="12"/>
        <color rgb="FF000000"/>
        <rFont val="Calibri"/>
        <family val="2"/>
        <scheme val="minor"/>
      </rPr>
      <t xml:space="preserve">. (3 points)
</t>
    </r>
    <r>
      <rPr>
        <b/>
        <sz val="12"/>
        <color rgb="FF000000"/>
        <rFont val="Calibri"/>
        <family val="2"/>
        <scheme val="minor"/>
      </rPr>
      <t>Q 5.4</t>
    </r>
    <r>
      <rPr>
        <sz val="12"/>
        <color rgb="FF000000"/>
        <rFont val="Calibri"/>
        <family val="2"/>
        <scheme val="minor"/>
      </rPr>
      <t xml:space="preserve">   A new managing director started on 1.1.2015.  Please give him  feedback about the cash conversion cycle development in </t>
    </r>
    <r>
      <rPr>
        <u/>
        <sz val="12"/>
        <color rgb="FF000000"/>
        <rFont val="Calibri"/>
        <family val="2"/>
        <scheme val="minor"/>
      </rPr>
      <t>2015 - 2017</t>
    </r>
    <r>
      <rPr>
        <sz val="12"/>
        <color rgb="FF000000"/>
        <rFont val="Calibri"/>
        <family val="2"/>
        <scheme val="minor"/>
      </rPr>
      <t xml:space="preserve">. (2 points)
</t>
    </r>
    <r>
      <rPr>
        <b/>
        <sz val="12"/>
        <color rgb="FF000000"/>
        <rFont val="Calibri"/>
        <family val="2"/>
        <scheme val="minor"/>
      </rPr>
      <t>Q 5.5</t>
    </r>
    <r>
      <rPr>
        <sz val="12"/>
        <color rgb="FF000000"/>
        <rFont val="Calibri"/>
        <family val="2"/>
        <scheme val="minor"/>
      </rPr>
      <t xml:space="preserve">   Why is a high inventory turnover preferred by shareholders? What is a limitation or a downside of a high turnover? (2 points)
</t>
    </r>
    <r>
      <rPr>
        <b/>
        <sz val="12"/>
        <color rgb="FF000000"/>
        <rFont val="Calibri"/>
        <family val="2"/>
        <scheme val="minor"/>
      </rPr>
      <t>Q 5.6</t>
    </r>
    <r>
      <rPr>
        <sz val="12"/>
        <color rgb="FF000000"/>
        <rFont val="Calibri"/>
        <family val="2"/>
        <scheme val="minor"/>
      </rPr>
      <t xml:space="preserve">   Please provide tangible measures (total 3) to improve Receivable and Payables from now on in </t>
    </r>
    <r>
      <rPr>
        <u/>
        <sz val="12"/>
        <color rgb="FF000000"/>
        <rFont val="Calibri"/>
        <family val="2"/>
        <scheme val="minor"/>
      </rPr>
      <t>2018</t>
    </r>
    <r>
      <rPr>
        <sz val="12"/>
        <color rgb="FF000000"/>
        <rFont val="Calibri"/>
        <family val="2"/>
        <scheme val="minor"/>
      </rPr>
      <t xml:space="preserve">. (3 points)
												</t>
    </r>
  </si>
  <si>
    <r>
      <rPr>
        <b/>
        <sz val="12"/>
        <color rgb="FFFF0000"/>
        <rFont val="Calibri"/>
        <family val="2"/>
        <scheme val="minor"/>
      </rPr>
      <t>Question 5:</t>
    </r>
    <r>
      <rPr>
        <sz val="12"/>
        <color theme="1"/>
        <rFont val="Calibri"/>
        <family val="2"/>
        <scheme val="minor"/>
      </rPr>
      <t xml:space="preserve">    </t>
    </r>
    <r>
      <rPr>
        <b/>
        <sz val="12"/>
        <color rgb="FFFF0000"/>
        <rFont val="Calibri"/>
        <family val="2"/>
        <scheme val="minor"/>
      </rPr>
      <t>(8 pts)</t>
    </r>
  </si>
  <si>
    <r>
      <t xml:space="preserve">Hotel &amp; Wellness Tax Haven wants  to keep a closer eye on its cash and the implications for its FINANCING (in other words, will it need more </t>
    </r>
    <r>
      <rPr>
        <b/>
        <i/>
        <sz val="12"/>
        <color theme="1"/>
        <rFont val="Calibri"/>
        <family val="2"/>
        <scheme val="minor"/>
      </rPr>
      <t>OR</t>
    </r>
    <r>
      <rPr>
        <sz val="12"/>
        <color theme="1"/>
        <rFont val="Calibri"/>
        <family val="2"/>
        <scheme val="minor"/>
      </rPr>
      <t xml:space="preserve"> less capital to finance its operations). For your convenience the Income Statements and Balance sheets are shown again directly BELOW this question.</t>
    </r>
  </si>
  <si>
    <r>
      <t xml:space="preserve">5.1 Calculate the Cash Conversion Cycle for </t>
    </r>
    <r>
      <rPr>
        <b/>
        <sz val="12"/>
        <color theme="1"/>
        <rFont val="Calibri"/>
        <family val="2"/>
        <scheme val="minor"/>
      </rPr>
      <t>2022</t>
    </r>
    <r>
      <rPr>
        <sz val="12"/>
        <color theme="1"/>
        <rFont val="Calibri"/>
        <family val="2"/>
        <scheme val="minor"/>
      </rPr>
      <t xml:space="preserve"> (!).  (4pts)</t>
    </r>
  </si>
  <si>
    <t>5.2 What are the consequences for FINANCING if the Inventory holding PERIOD goes down? (2 pts) Explain!</t>
  </si>
  <si>
    <t>Table for question 6</t>
  </si>
  <si>
    <t>Balance sheets</t>
  </si>
  <si>
    <t>Table 5 : Budget Cash Flow</t>
  </si>
  <si>
    <t>Cash In</t>
  </si>
  <si>
    <t>Feb</t>
  </si>
  <si>
    <t>Mar</t>
  </si>
  <si>
    <t>Apr</t>
  </si>
  <si>
    <t>Cash received during the month</t>
  </si>
  <si>
    <t>Current month</t>
  </si>
  <si>
    <t xml:space="preserve">Creditcard gross cash receipts </t>
  </si>
  <si>
    <t xml:space="preserve">Credit card fee </t>
  </si>
  <si>
    <r>
      <rPr>
        <sz val="12"/>
        <color rgb="FF000000"/>
        <rFont val="Calibri"/>
        <family val="2"/>
      </rPr>
      <t xml:space="preserve">                                                                                                                                                                                                                                                                                                                                                                                                                               
Answer the following questions based on</t>
    </r>
    <r>
      <rPr>
        <b/>
        <sz val="12"/>
        <color rgb="FFFF0000"/>
        <rFont val="Calibri"/>
        <family val="2"/>
      </rPr>
      <t xml:space="preserve"> table 5 (above)
</t>
    </r>
    <r>
      <rPr>
        <sz val="12"/>
        <color rgb="FF000000"/>
        <rFont val="Calibri"/>
        <family val="2"/>
      </rPr>
      <t xml:space="preserve">4.1       The credit card company is paying with a delay of 5 days. What is the fee that the Creditcard company applies for its services? Provide your calculations and the fee as a percentage (show 2 decimals). </t>
    </r>
    <r>
      <rPr>
        <b/>
        <sz val="12"/>
        <color rgb="FF000000"/>
        <rFont val="Calibri"/>
        <family val="2"/>
      </rPr>
      <t>2 pts</t>
    </r>
  </si>
  <si>
    <t>Depreciation building</t>
  </si>
  <si>
    <t>ABC Rooftop Budget</t>
  </si>
  <si>
    <t>June (budget)</t>
  </si>
  <si>
    <t>July (budget)</t>
  </si>
  <si>
    <t>August (budget)</t>
  </si>
  <si>
    <t>Cash Sales</t>
  </si>
  <si>
    <t>Credit Sales</t>
  </si>
  <si>
    <t>Total Sales</t>
  </si>
  <si>
    <t>Credit card fee</t>
  </si>
  <si>
    <t>Payment delay</t>
  </si>
  <si>
    <t>9 days</t>
  </si>
  <si>
    <r>
      <rPr>
        <b/>
        <sz val="12"/>
        <color theme="1"/>
        <rFont val="Calibri"/>
        <family val="2"/>
        <scheme val="minor"/>
      </rPr>
      <t xml:space="preserve">Table 2: </t>
    </r>
    <r>
      <rPr>
        <sz val="12"/>
        <color theme="1"/>
        <rFont val="Calibri"/>
        <family val="2"/>
        <scheme val="minor"/>
      </rPr>
      <t>Cash Flow Statement of company X</t>
    </r>
  </si>
  <si>
    <t>Total Depreciation &amp; Amortization</t>
  </si>
  <si>
    <t>Change In Accounts Receivable</t>
  </si>
  <si>
    <t>Change In Accounts Payable</t>
  </si>
  <si>
    <t>Change In Income Taxes</t>
  </si>
  <si>
    <t>Change in Other Net Operating Items</t>
  </si>
  <si>
    <t>Cash from Operations</t>
  </si>
  <si>
    <t>Change in Buildings</t>
  </si>
  <si>
    <t>Change in Equipment</t>
  </si>
  <si>
    <t>Change in Investment in Marketable Securities</t>
  </si>
  <si>
    <t>Cash from Investing</t>
  </si>
  <si>
    <t>Total Debt Issued</t>
  </si>
  <si>
    <t>Total Debt Repaid</t>
  </si>
  <si>
    <t>Repurchase of Common Stock (treasury stock)</t>
  </si>
  <si>
    <t>Cash from Financing</t>
  </si>
  <si>
    <t>Net Change in Cash</t>
  </si>
  <si>
    <t>Cash Beginning of Period</t>
  </si>
  <si>
    <t>Cash End of Period</t>
  </si>
  <si>
    <r>
      <t>Annual Financials in  </t>
    </r>
    <r>
      <rPr>
        <b/>
        <sz val="12"/>
        <color theme="1"/>
        <rFont val="Calibri"/>
        <family val="2"/>
        <scheme val="minor"/>
      </rPr>
      <t>Millions </t>
    </r>
    <r>
      <rPr>
        <sz val="12"/>
        <color theme="1"/>
        <rFont val="Calibri"/>
        <family val="2"/>
        <scheme val="minor"/>
      </rPr>
      <t>of </t>
    </r>
    <r>
      <rPr>
        <b/>
        <sz val="12"/>
        <color theme="1"/>
        <rFont val="Calibri"/>
        <family val="2"/>
        <scheme val="minor"/>
      </rPr>
      <t>US Dollars</t>
    </r>
  </si>
  <si>
    <t>* a postive number means a positive effect on the company's cash position</t>
  </si>
  <si>
    <r>
      <rPr>
        <sz val="12"/>
        <color rgb="FF000000"/>
        <rFont val="Calibri"/>
        <family val="2"/>
      </rPr>
      <t xml:space="preserve">
Based on the Cash Flow statement for Company X</t>
    </r>
    <r>
      <rPr>
        <b/>
        <sz val="12"/>
        <color rgb="FFFF0000"/>
        <rFont val="Calibri"/>
        <family val="2"/>
      </rPr>
      <t xml:space="preserve"> table 2 above:</t>
    </r>
    <r>
      <rPr>
        <sz val="12"/>
        <color rgb="FF000000"/>
        <rFont val="Calibri"/>
        <family val="2"/>
      </rPr>
      <t xml:space="preserve"> 
Is company X in its youth (growth) phase, mature (stable) phase or in its terminal (declining) phase?  Explain which </t>
    </r>
    <r>
      <rPr>
        <b/>
        <sz val="12"/>
        <color rgb="FF000000"/>
        <rFont val="Calibri"/>
        <family val="2"/>
      </rPr>
      <t>one</t>
    </r>
    <r>
      <rPr>
        <sz val="12"/>
        <color rgb="FF000000"/>
        <rFont val="Calibri"/>
        <family val="2"/>
      </rPr>
      <t xml:space="preserve"> of the 3 phases is the most plausible and explain your answer using the data from company X's Cash Flow Statement </t>
    </r>
    <r>
      <rPr>
        <b/>
        <sz val="12"/>
        <color rgb="FF000000"/>
        <rFont val="Calibri"/>
        <family val="2"/>
      </rPr>
      <t xml:space="preserve">(6 pts)
</t>
    </r>
  </si>
  <si>
    <t>Total Revenues</t>
  </si>
  <si>
    <t>% revenues in cash</t>
  </si>
  <si>
    <t>Creditcard fee</t>
  </si>
  <si>
    <t>Credit Card payment delay</t>
  </si>
  <si>
    <t>June</t>
  </si>
  <si>
    <t>4 days</t>
  </si>
  <si>
    <t>July</t>
  </si>
  <si>
    <r>
      <rPr>
        <sz val="12"/>
        <color rgb="FF000000"/>
        <rFont val="Calibri"/>
        <family val="2"/>
      </rPr>
      <t xml:space="preserve">
Calculate the total cash inflow in the month of July from the company's revenue activities. Use the date from the above table. Show your calculations. (</t>
    </r>
    <r>
      <rPr>
        <b/>
        <sz val="12"/>
        <color rgb="FF000000"/>
        <rFont val="Calibri"/>
        <family val="2"/>
      </rPr>
      <t>4 pts</t>
    </r>
    <r>
      <rPr>
        <sz val="12"/>
        <color rgb="FF000000"/>
        <rFont val="Calibri"/>
        <family val="2"/>
      </rPr>
      <t xml:space="preserve">)				
					</t>
    </r>
  </si>
  <si>
    <t>Addtitional Information</t>
  </si>
  <si>
    <t>The hotel is open 365 days.</t>
  </si>
  <si>
    <t>The occupancy rate in 2020 was 85%</t>
  </si>
  <si>
    <t>In 2021 (Covid) it dropped to 80%. In 2022 it is expected to pick up to 90%.</t>
  </si>
  <si>
    <t>Total expense for utilities in 2020 was 4 000</t>
  </si>
  <si>
    <t>Inventory</t>
  </si>
  <si>
    <t>Income tax</t>
  </si>
  <si>
    <t>Table 6</t>
  </si>
  <si>
    <r>
      <t xml:space="preserve">Beach Restaurant  ZULU                </t>
    </r>
    <r>
      <rPr>
        <b/>
        <sz val="12"/>
        <color rgb="FFFF0000"/>
        <rFont val="Calibri"/>
        <family val="2"/>
        <scheme val="minor"/>
      </rPr>
      <t>Budget  2023</t>
    </r>
  </si>
  <si>
    <t>Sales in January</t>
  </si>
  <si>
    <t>fixed cost*</t>
  </si>
  <si>
    <t xml:space="preserve"> per month</t>
  </si>
  <si>
    <t>% of sales on account</t>
  </si>
  <si>
    <t>variable cost*</t>
  </si>
  <si>
    <t>* cash out</t>
  </si>
  <si>
    <t>Credit card payment delay</t>
  </si>
  <si>
    <t>days</t>
  </si>
  <si>
    <t>Table for question 7</t>
  </si>
  <si>
    <t>(Annual Financials in Millions of US Dollars)</t>
  </si>
  <si>
    <t>Target 2 company</t>
  </si>
  <si>
    <t>Cash from Operating Activities</t>
  </si>
  <si>
    <t>Cash from Investing Activities</t>
  </si>
  <si>
    <t>Cash from Financing Activities</t>
  </si>
  <si>
    <r>
      <rPr>
        <b/>
        <sz val="12"/>
        <color rgb="FFFF0000"/>
        <rFont val="Calibri"/>
        <family val="2"/>
        <scheme val="minor"/>
      </rPr>
      <t xml:space="preserve">Question 7:  </t>
    </r>
    <r>
      <rPr>
        <sz val="12"/>
        <rFont val="Calibri"/>
        <family val="2"/>
        <scheme val="minor"/>
      </rPr>
      <t xml:space="preserve"> </t>
    </r>
    <r>
      <rPr>
        <sz val="11"/>
        <color theme="1"/>
        <rFont val="Calibri"/>
        <family val="2"/>
        <scheme val="minor"/>
      </rPr>
      <t xml:space="preserve">        </t>
    </r>
    <r>
      <rPr>
        <b/>
        <sz val="12"/>
        <color rgb="FFFF0000"/>
        <rFont val="Calibri"/>
        <family val="2"/>
        <scheme val="minor"/>
      </rPr>
      <t>(6 pts)</t>
    </r>
  </si>
  <si>
    <t xml:space="preserve">Looking at the above Cash Flow Statement of another potential acquisition (Target 2), what can you tell your boss about where in the life cycle (growth phase, stable phase, or declining phase) this target company is? Do this by commenting on the DEVELOPMENT in Operating Cash Flow, Investing Cash Flow and Financing Cash Flow. </t>
  </si>
  <si>
    <t>Financial Details</t>
  </si>
  <si>
    <t>Mirage Resorts - Balance Sheet</t>
  </si>
  <si>
    <t>Balance Sheet for the years 2021 and 2022</t>
  </si>
  <si>
    <t>Current Liabilities</t>
  </si>
  <si>
    <t>Accrued Utilities</t>
  </si>
  <si>
    <t>Corporate Income Tax Payable</t>
  </si>
  <si>
    <t>Beverage Inventory</t>
  </si>
  <si>
    <t>Current Part: Long-term Loans</t>
  </si>
  <si>
    <t>Non F&amp;B inventory</t>
  </si>
  <si>
    <t>Prepaid Expenses</t>
  </si>
  <si>
    <t>Non-Current Assets</t>
  </si>
  <si>
    <t>Long term Liabilities and Equity</t>
  </si>
  <si>
    <t>Long term Loans</t>
  </si>
  <si>
    <t>Common Stock Issued</t>
  </si>
  <si>
    <t>Accumulated Depreciation on Buildings</t>
  </si>
  <si>
    <t>Paid in Capital</t>
  </si>
  <si>
    <t>Accumulated Depreciation on Equipment</t>
  </si>
  <si>
    <t xml:space="preserve"> TOTAL ASSETS </t>
  </si>
  <si>
    <t xml:space="preserve">TOTAL LIABILITIES AND OWNERS' EQUITY </t>
  </si>
  <si>
    <t>Mirage Resorts - Income Statement</t>
  </si>
  <si>
    <t>Income Statement for the year ended on 31 December 2022</t>
  </si>
  <si>
    <t>Operated Departments</t>
  </si>
  <si>
    <t>Cost 
of Sales</t>
  </si>
  <si>
    <t>Payroll &amp; 
Related</t>
  </si>
  <si>
    <t>Other Direct Expenses</t>
  </si>
  <si>
    <t>Non F&amp;B activities</t>
  </si>
  <si>
    <t>Undistributed Operating  Expenses</t>
  </si>
  <si>
    <t xml:space="preserve"> </t>
  </si>
  <si>
    <t>Administrative &amp; General</t>
  </si>
  <si>
    <t>Property Operation &amp; Maintenance</t>
  </si>
  <si>
    <t>Total Undistributed Operating Expenses</t>
  </si>
  <si>
    <t>Fixed Charges</t>
  </si>
  <si>
    <t>Property Tax</t>
  </si>
  <si>
    <t>Depreciation on Buildings</t>
  </si>
  <si>
    <t>Depreciation on Equipment</t>
  </si>
  <si>
    <t>Gain on Sale of Equipment</t>
  </si>
  <si>
    <t>EBIT - Income before Interest and Tax</t>
  </si>
  <si>
    <t>Interest Expense</t>
  </si>
  <si>
    <t>EBT - Income before Tax</t>
  </si>
  <si>
    <t>Corporate Income Tax</t>
  </si>
  <si>
    <t>Cash Flow Summary of Rainex Inc.</t>
  </si>
  <si>
    <t>Cash From Operations</t>
  </si>
  <si>
    <t>Cash From Investing</t>
  </si>
  <si>
    <t>Cash From Financing</t>
  </si>
  <si>
    <t>Final Cash Flow</t>
  </si>
  <si>
    <t>As part of its expansion plans, Mirage is considering acquiring Rainex Inc.. The CFO of Mirage has asked you to look at the summarized Cash Flow of Rainex in order to give your opinion. Based on the Cash Flows above, would you recommend to buy Rainex or not. Please justify your answer using all 3 Cash Flow sections.</t>
  </si>
  <si>
    <t>Question 9 - Points 4</t>
  </si>
  <si>
    <r>
      <t xml:space="preserve">        You've found an investment that pays 12% per year. That rate sounds good to you, so you invest €400 </t>
    </r>
    <r>
      <rPr>
        <b/>
        <sz val="12"/>
        <color rgb="FFFF0000"/>
        <rFont val="Calibri"/>
        <family val="2"/>
        <scheme val="minor"/>
      </rPr>
      <t>(4 pts)</t>
    </r>
    <r>
      <rPr>
        <sz val="11"/>
        <color theme="1"/>
        <rFont val="Calibri"/>
        <family val="2"/>
        <scheme val="minor"/>
      </rPr>
      <t xml:space="preserve">
3.1 How much will you have in seven years?
3.2 How much interest will you have earned in 7 years?
</t>
    </r>
  </si>
  <si>
    <r>
      <t xml:space="preserve">  A firm: "Teslita" is considering financing a new hotel in Italy. The company can finance its assets either through bonds or through issuing shares. The required investment is € 6 million 
The firm can issue a 10 year bond with a coupon of 6% (Kd).
The firm can issue new shares at a required rate of return of 3% (Ke)
Tax rate 21%
The firm has a minimum debt to equity ratio of 40%
5.1 What would be the cheapest cost of financing (WACC) of the new hotel in Italy? </t>
    </r>
    <r>
      <rPr>
        <sz val="12"/>
        <color rgb="FFFF0000"/>
        <rFont val="Calibri"/>
        <family val="2"/>
        <scheme val="minor"/>
      </rPr>
      <t>(</t>
    </r>
    <r>
      <rPr>
        <b/>
        <sz val="12"/>
        <color rgb="FFFF0000"/>
        <rFont val="Calibri"/>
        <family val="2"/>
        <scheme val="minor"/>
      </rPr>
      <t>4 pts)</t>
    </r>
    <r>
      <rPr>
        <sz val="11"/>
        <color theme="1"/>
        <rFont val="Calibri"/>
        <family val="2"/>
        <scheme val="minor"/>
      </rPr>
      <t xml:space="preserve">
5.2 Normally Ke is higher than Kd.  Give a possible explanation for the fact that for Teslita Ke is lower than Kd </t>
    </r>
    <r>
      <rPr>
        <b/>
        <sz val="12"/>
        <color rgb="FFFF0000"/>
        <rFont val="Calibri"/>
        <family val="2"/>
        <scheme val="minor"/>
      </rPr>
      <t>(2 pts)</t>
    </r>
    <r>
      <rPr>
        <sz val="11"/>
        <color theme="1"/>
        <rFont val="Calibri"/>
        <family val="2"/>
        <scheme val="minor"/>
      </rPr>
      <t xml:space="preserve">				
					</t>
    </r>
  </si>
  <si>
    <t>Hilton Worldwide Holdings Annual Data</t>
  </si>
  <si>
    <t>Trend</t>
  </si>
  <si>
    <t>WACC %</t>
  </si>
  <si>
    <t>Tax%</t>
  </si>
  <si>
    <t>Gross profit Margin</t>
  </si>
  <si>
    <t>Table 9:</t>
  </si>
  <si>
    <t>Financial instruments</t>
  </si>
  <si>
    <t>Rate or coupon</t>
  </si>
  <si>
    <t>Long term loan A</t>
  </si>
  <si>
    <t xml:space="preserve">Bond B </t>
  </si>
  <si>
    <t>Long term loan C</t>
  </si>
  <si>
    <t xml:space="preserve">Bond D </t>
  </si>
  <si>
    <r>
      <t xml:space="preserve">   Assume Hilton Worldwide Holdings is only financed through debt. Table 8 lists the WACC rates the company has applied between 2016 and 2020.    Explain which one of the financial instruments in table 9 is most likely to have been used to completely refinance the company in 2020. </t>
    </r>
    <r>
      <rPr>
        <b/>
        <sz val="12"/>
        <color theme="1"/>
        <rFont val="Calibri"/>
        <family val="2"/>
        <scheme val="minor"/>
      </rPr>
      <t>Show your calculations</t>
    </r>
    <r>
      <rPr>
        <sz val="11"/>
        <color theme="1"/>
        <rFont val="Calibri"/>
        <family val="2"/>
        <scheme val="minor"/>
      </rPr>
      <t xml:space="preserve"> </t>
    </r>
    <r>
      <rPr>
        <b/>
        <sz val="12"/>
        <color rgb="FFFF0000"/>
        <rFont val="Calibri"/>
        <family val="2"/>
        <scheme val="minor"/>
      </rPr>
      <t>(4 pts)</t>
    </r>
    <r>
      <rPr>
        <sz val="11"/>
        <color theme="1"/>
        <rFont val="Calibri"/>
        <family val="2"/>
        <scheme val="minor"/>
      </rPr>
      <t xml:space="preserve">
  </t>
    </r>
  </si>
  <si>
    <t>1.1 Why do companies DISCOUNT the future benefits (cash flows) of a possible investment opportunity? Explain your answer in at least 2 sentences.  (2 pts)</t>
  </si>
  <si>
    <t>1.2 In the context of capital budgetting, what is the difference between profit and value? Explain your answer in at least 1 sentence.  (2 Pt)</t>
  </si>
  <si>
    <t>year</t>
  </si>
  <si>
    <t>CF</t>
  </si>
  <si>
    <t>2.1 Calculate the payback for the project in the table above. Explain in what situations the Payback method is especially relevant. Explain your answer with at least one example.  (2 pts)</t>
  </si>
  <si>
    <t>2.2 Your manager decides to make investment decisions solely based on the Payback method. Explain to him, in at least 2 sentences, why Payback should NOT be used as the ONLY way to decide if an investment should be done or not.    (2 pts)</t>
  </si>
  <si>
    <t>Mar del Lago is analysing investing in a new RM (Revenue Management) system for one of its properties.  The total Investment is 100.000 Euros and, as a consequence of the investment, they expect an increase in revenue of 40.000 in the first year, with a steady growth of  25% per year for the total of 4 years the system is expected to last. The system will have a yearly cost for Fees and Maintenance of 20.000 a year and the Income tax is 25%. It is allowed to carry losses forward for up to 5 years. Mar del Lago requires a maximum payback of 3 years.</t>
  </si>
  <si>
    <r>
      <t xml:space="preserve">2.1 Calculate the cash flows to use for the Payback Method, show your calculations. </t>
    </r>
    <r>
      <rPr>
        <b/>
        <sz val="12"/>
        <color rgb="FFFF0000"/>
        <rFont val="Calibri"/>
        <family val="2"/>
        <scheme val="minor"/>
      </rPr>
      <t>(4 Points)</t>
    </r>
  </si>
  <si>
    <r>
      <t xml:space="preserve">2.2 Calculate the Payback, show your calculations  and give your recommendation based on the result </t>
    </r>
    <r>
      <rPr>
        <b/>
        <sz val="12"/>
        <color rgb="FFFF0000"/>
        <rFont val="Calibri"/>
        <family val="2"/>
        <scheme val="minor"/>
      </rPr>
      <t>(2 points)</t>
    </r>
  </si>
  <si>
    <t xml:space="preserve">Mar del Lago has Certificates of Deposit in the bank for a total amount of 1.000.000 Euros for a period of 6 months at an annual rate of 3,6%,  with monthly compounding. </t>
  </si>
  <si>
    <r>
      <t xml:space="preserve">4.1 How much money will they be able to withdraw at the end of the 6 months?  Show your calculations </t>
    </r>
    <r>
      <rPr>
        <b/>
        <sz val="12"/>
        <color rgb="FFFF0000"/>
        <rFont val="Calibri"/>
        <family val="2"/>
        <scheme val="minor"/>
      </rPr>
      <t>(2 Points)</t>
    </r>
  </si>
  <si>
    <r>
      <t xml:space="preserve">
4.2 If they want  1.500.000 Euros at the end of 6 months, how much do they need to deposit today. Show your calculations </t>
    </r>
    <r>
      <rPr>
        <b/>
        <sz val="12"/>
        <color rgb="FFFF0000"/>
        <rFont val="Calibri"/>
        <family val="2"/>
        <scheme val="minor"/>
      </rPr>
      <t xml:space="preserve"> (2 Points)</t>
    </r>
  </si>
  <si>
    <r>
      <rPr>
        <sz val="12"/>
        <color rgb="FF000000"/>
        <rFont val="Calibri"/>
        <family val="2"/>
      </rPr>
      <t xml:space="preserve">  
1.1 Project A delivers a total NET PROFIT of EUR 100 and project B delivers a NPV of EUR 90. Is this enough information to make a decision to choose the best option; either invest in project A or invest in B? Explain why or why not. </t>
    </r>
    <r>
      <rPr>
        <b/>
        <sz val="12"/>
        <color rgb="FF000000"/>
        <rFont val="Calibri"/>
        <family val="2"/>
      </rPr>
      <t xml:space="preserve">(2 pts)
</t>
    </r>
    <r>
      <rPr>
        <sz val="12"/>
        <color rgb="FF000000"/>
        <rFont val="Calibri"/>
        <family val="2"/>
      </rPr>
      <t xml:space="preserve">1.2 Explain in several sentences the concept of why EUR 100 today is worth more than a EUR 100 a year from now. </t>
    </r>
    <r>
      <rPr>
        <b/>
        <sz val="12"/>
        <color rgb="FF000000"/>
        <rFont val="Calibri"/>
        <family val="2"/>
      </rPr>
      <t xml:space="preserve">(2 pts)
</t>
    </r>
    <r>
      <rPr>
        <sz val="12"/>
        <color rgb="FF000000"/>
        <rFont val="Calibri"/>
        <family val="2"/>
      </rPr>
      <t>1.3 The WACC formula uses Ke (Re) and Kd (Rd). Explain why conceptually Ke is always higher than Kd. Answer in at least a 2 sentences and clearly state why the reason you provide for this holds true. (</t>
    </r>
    <r>
      <rPr>
        <b/>
        <sz val="12"/>
        <color rgb="FF000000"/>
        <rFont val="Calibri"/>
        <family val="2"/>
      </rPr>
      <t>2 pts</t>
    </r>
    <r>
      <rPr>
        <sz val="12"/>
        <color rgb="FF000000"/>
        <rFont val="Calibri"/>
        <family val="2"/>
      </rPr>
      <t>)</t>
    </r>
    <r>
      <rPr>
        <b/>
        <sz val="12"/>
        <color rgb="FF000000"/>
        <rFont val="Calibri"/>
        <family val="2"/>
      </rPr>
      <t xml:space="preserve"> </t>
    </r>
  </si>
  <si>
    <r>
      <rPr>
        <b/>
        <sz val="12"/>
        <color rgb="FF000000"/>
        <rFont val="Calibri"/>
        <family val="2"/>
        <scheme val="minor"/>
      </rPr>
      <t>Question 4 (</t>
    </r>
    <r>
      <rPr>
        <b/>
        <sz val="12"/>
        <color rgb="FFFF0000"/>
        <rFont val="Calibri"/>
        <family val="2"/>
        <scheme val="minor"/>
      </rPr>
      <t>6 pts</t>
    </r>
    <r>
      <rPr>
        <b/>
        <sz val="12"/>
        <color rgb="FF000000"/>
        <rFont val="Calibri"/>
        <family val="2"/>
        <scheme val="minor"/>
      </rPr>
      <t>)</t>
    </r>
    <r>
      <rPr>
        <sz val="12"/>
        <color rgb="FF000000"/>
        <rFont val="Calibri"/>
        <family val="2"/>
        <scheme val="minor"/>
      </rPr>
      <t xml:space="preserve">	                                                                                                                                                                                                                                                                                                                                                                                                                               
Answer the following questions:
4.1       If a share price is currently at EUR 120 and is expected to rise with 11% per year for the next 10 years, what is the share price expected to be at the end of that period? (</t>
    </r>
    <r>
      <rPr>
        <b/>
        <sz val="12"/>
        <color rgb="FF000000"/>
        <rFont val="Calibri"/>
        <family val="2"/>
        <scheme val="minor"/>
      </rPr>
      <t xml:space="preserve">2 pts) </t>
    </r>
    <r>
      <rPr>
        <sz val="12"/>
        <color rgb="FF000000"/>
        <rFont val="Calibri"/>
        <family val="2"/>
        <scheme val="minor"/>
      </rPr>
      <t xml:space="preserve">
4.2       You can invest your EUR 100.000 in savings in two options. Both options are only for the duration of 1 year as you need the money back to buy some more bitcoin. Option A promises 10% interest rate compounded yearly. Option B promises 4,9% per half year (so paid out per 6 months). Which option is the best one? Prove your answer with a calculation AND explain why the two options differ in their promised returns? (</t>
    </r>
    <r>
      <rPr>
        <b/>
        <sz val="12"/>
        <color rgb="FF000000"/>
        <rFont val="Calibri"/>
        <family val="2"/>
        <scheme val="minor"/>
      </rPr>
      <t xml:space="preserve">4 pts) </t>
    </r>
  </si>
  <si>
    <t xml:space="preserve">You are a restaurant manager. You are challenged by your boss to invest and grow. 
You heard about a new way to make pizzas. You are considering investing in a pizza oven. 
Investment of the oven (31.12.2022) is Euro 80'000 (expected lifetime 4 years). Salvage value is Euro 20'000. VAT amounts to 21%. 
incremental Revenue is Euro 160'000 in 1st year (2023), rising by 5% p.a. afterwards.
Cost to operate (excl depreciation) is Euro 140'000 in 1st year, rising by 4% only in the last two years. 
Your accountant calculated your discount rate to be 10%. 
2.1: What is your depreciation per year?
2.2: What is the Project cash flow in year 4 ? 
2.3: What is the payback time? 
2.4: When would you use the Payback time to make an investment decision?  What is one drawback of this capital budgeting model?
</t>
  </si>
  <si>
    <t>Table needed for question 3</t>
  </si>
  <si>
    <t>Projects available for 2023</t>
  </si>
  <si>
    <t>NPV</t>
  </si>
  <si>
    <t>PI</t>
  </si>
  <si>
    <t>The group made available an investment budget for 2023, with a maximum of  Euro 900'000.  
The sales director is very experienced and proposes project A. 
The Operations manager is also a personal friend of the managing director: she proposes project B. 
Your managing director asks for your advice. Please check the calculations for A and B and provide your financial advice. Show your calculation.</t>
  </si>
  <si>
    <r>
      <rPr>
        <b/>
        <sz val="12"/>
        <color theme="1"/>
        <rFont val="Calibri"/>
        <family val="2"/>
        <scheme val="minor"/>
      </rPr>
      <t>Calculate the WACC using the following information</t>
    </r>
    <r>
      <rPr>
        <sz val="11"/>
        <color theme="1"/>
        <rFont val="Calibri"/>
        <family val="2"/>
        <scheme val="minor"/>
      </rPr>
      <t xml:space="preserve">
CMRw 60% 
GOP 50%
Profit margin 8%
Net Sales (revenue) Euro 100
Income tax invoice Euro 2
Debt/equity ratio 1x
Borrowing cost 5%
Cash conversion cycle is -30 days
Required return by shareholders 20%</t>
    </r>
  </si>
  <si>
    <r>
      <rPr>
        <sz val="12"/>
        <color rgb="FF000000"/>
        <rFont val="Calibri"/>
        <family val="2"/>
      </rPr>
      <t xml:space="preserve">You've found a savings account (in Euros) that pays 15% per year. That rate sounds good to you, so you invest € 3 000 today. </t>
    </r>
    <r>
      <rPr>
        <b/>
        <sz val="12"/>
        <color rgb="FFFF0000"/>
        <rFont val="Calibri"/>
        <family val="2"/>
      </rPr>
      <t>(4 pts)
3.1</t>
    </r>
    <r>
      <rPr>
        <sz val="12"/>
        <color rgb="FF000000"/>
        <rFont val="Calibri"/>
        <family val="2"/>
      </rPr>
      <t xml:space="preserve"> How much will your account be worth in exactly five years' time? </t>
    </r>
    <r>
      <rPr>
        <b/>
        <sz val="12"/>
        <color rgb="FFFF0000"/>
        <rFont val="Calibri"/>
        <family val="2"/>
      </rPr>
      <t xml:space="preserve">(2 pts)
</t>
    </r>
    <r>
      <rPr>
        <b/>
        <i/>
        <sz val="12"/>
        <color rgb="FFFF0000"/>
        <rFont val="Calibri"/>
        <family val="2"/>
      </rPr>
      <t>3.2</t>
    </r>
    <r>
      <rPr>
        <sz val="12"/>
        <color rgb="FF000000"/>
        <rFont val="Calibri"/>
        <family val="2"/>
      </rPr>
      <t xml:space="preserve"> If you want € 12 000 at the end of year 6 and the interest rate is still 15%, how much money do you need to deposit today? </t>
    </r>
    <r>
      <rPr>
        <b/>
        <sz val="12"/>
        <color rgb="FFFF0000"/>
        <rFont val="Calibri"/>
        <family val="2"/>
      </rPr>
      <t>(2 pts)</t>
    </r>
  </si>
  <si>
    <r>
      <rPr>
        <sz val="12"/>
        <color rgb="FF000000"/>
        <rFont val="Calibri"/>
        <family val="2"/>
      </rPr>
      <t xml:space="preserve">For an investment in a new hotel in Greece, the Kalimera company needs € 6 million. The company can finance its assets either through bonds or through issuing shares. </t>
    </r>
    <r>
      <rPr>
        <b/>
        <sz val="12"/>
        <color rgb="FFFF0000"/>
        <rFont val="Calibri"/>
        <family val="2"/>
      </rPr>
      <t xml:space="preserve">(5 pts)
</t>
    </r>
    <r>
      <rPr>
        <sz val="12"/>
        <color rgb="FF000000"/>
        <rFont val="Calibri"/>
        <family val="2"/>
      </rPr>
      <t xml:space="preserve">
The firm can issue an 8-year bond with a coupon of 8% (Kd).
The firm can issue new shares and offers potential investors a rate of return of 12% (Ke)
Tax rate 25%</t>
    </r>
  </si>
  <si>
    <r>
      <t xml:space="preserve">5.1 </t>
    </r>
    <r>
      <rPr>
        <sz val="12"/>
        <color rgb="FF000000"/>
        <rFont val="Calibri"/>
        <family val="2"/>
      </rPr>
      <t>The company does not want too much financial leverage, so the debt/equity ratio should be  2. Calculate the lowest WACC under these conditions. Show calculation</t>
    </r>
    <r>
      <rPr>
        <b/>
        <sz val="12"/>
        <color rgb="FFFF0000"/>
        <rFont val="Calibri"/>
        <family val="2"/>
      </rPr>
      <t xml:space="preserve"> (2 pts)</t>
    </r>
  </si>
  <si>
    <r>
      <t xml:space="preserve">5.2 </t>
    </r>
    <r>
      <rPr>
        <sz val="12"/>
        <color rgb="FF000000"/>
        <rFont val="Calibri"/>
        <family val="2"/>
      </rPr>
      <t xml:space="preserve">Why is Ke (Re) conceptionally always higher than Kd (Rd) </t>
    </r>
    <r>
      <rPr>
        <b/>
        <sz val="12"/>
        <color rgb="FFFF0000"/>
        <rFont val="Calibri"/>
        <family val="2"/>
      </rPr>
      <t>(2 pts)</t>
    </r>
  </si>
  <si>
    <t>Table 3:</t>
  </si>
  <si>
    <t>Table 4:</t>
  </si>
  <si>
    <r>
      <rPr>
        <sz val="12"/>
        <color rgb="FF000000"/>
        <rFont val="Calibri"/>
        <family val="2"/>
      </rPr>
      <t xml:space="preserve">Assume Hilton Worldwide Holdings is </t>
    </r>
    <r>
      <rPr>
        <b/>
        <sz val="12"/>
        <color rgb="FF000000"/>
        <rFont val="Calibri"/>
        <family val="2"/>
      </rPr>
      <t>only financed through debt</t>
    </r>
    <r>
      <rPr>
        <sz val="12"/>
        <color rgb="FF000000"/>
        <rFont val="Calibri"/>
        <family val="2"/>
      </rPr>
      <t xml:space="preserve">. </t>
    </r>
    <r>
      <rPr>
        <b/>
        <sz val="12"/>
        <color rgb="FFFF0000"/>
        <rFont val="Calibri"/>
        <family val="2"/>
      </rPr>
      <t>Table 3</t>
    </r>
    <r>
      <rPr>
        <sz val="12"/>
        <color rgb="FF000000"/>
        <rFont val="Calibri"/>
        <family val="2"/>
      </rPr>
      <t xml:space="preserve"> lists the WACC rates the company has applied between 2017 and 2021.  
  </t>
    </r>
  </si>
  <si>
    <r>
      <t>Table 4</t>
    </r>
    <r>
      <rPr>
        <sz val="12"/>
        <color rgb="FF000000"/>
        <rFont val="Calibri"/>
        <family val="2"/>
      </rPr>
      <t xml:space="preserve"> lists the different financial instruments available.  </t>
    </r>
  </si>
  <si>
    <r>
      <t xml:space="preserve">Explain which one of these  instruments is most likely to have been used to </t>
    </r>
    <r>
      <rPr>
        <b/>
        <sz val="12"/>
        <color rgb="FF000000"/>
        <rFont val="Calibri"/>
        <family val="2"/>
      </rPr>
      <t>completely refinance</t>
    </r>
    <r>
      <rPr>
        <sz val="12"/>
        <color rgb="FF000000"/>
        <rFont val="Calibri"/>
        <family val="2"/>
      </rPr>
      <t xml:space="preserve"> the company debt in 2021. </t>
    </r>
    <r>
      <rPr>
        <b/>
        <sz val="12"/>
        <color rgb="FF000000"/>
        <rFont val="Calibri"/>
        <family val="2"/>
      </rPr>
      <t>Show your calculations (4 pts)</t>
    </r>
  </si>
  <si>
    <t>Alpes Hotel details to invest in outdoor swimming pool</t>
  </si>
  <si>
    <t>Additional Revenue 1st Year (Euros)</t>
  </si>
  <si>
    <t>Expected Additional Revenue increase year on year (Year 2-100%, Year 3-50%, Year 4-35% and Year 5-15%)</t>
  </si>
  <si>
    <t>Variable expenses</t>
  </si>
  <si>
    <t>Fixed costs swimming pool (excluding depreciation)</t>
  </si>
  <si>
    <t>Initial investment</t>
  </si>
  <si>
    <t xml:space="preserve">Life expectancy of the swimming pool </t>
  </si>
  <si>
    <t>years</t>
  </si>
  <si>
    <t xml:space="preserve">Residual value after 5 years </t>
  </si>
  <si>
    <t>WACC rate</t>
  </si>
  <si>
    <t>% of debt over the investment</t>
  </si>
  <si>
    <t>Required Return on Equity</t>
  </si>
  <si>
    <t>Return on Debt</t>
  </si>
  <si>
    <t>Tax Rate</t>
  </si>
  <si>
    <t>Question 7 - Points 8</t>
  </si>
  <si>
    <t>Miprim has a property in the Alps and it is analysing the possibility of building an outdoor swimming pool to use during the spring and summer period. The CFO has asked you to carry out the financial analysis to decide if the project is worth pursuing. See the details in the table above and Calculate the following</t>
  </si>
  <si>
    <t>7.1 The Cash Flows of the new Investment. Show your calculations</t>
  </si>
  <si>
    <t>7.2 The Net Present Value. Show your calculations and explain the meaning of the result</t>
  </si>
  <si>
    <t>7.3 The Profitability Index. Show your calculations and explain the meaning of the result</t>
  </si>
  <si>
    <t>Miprim Project "New CRM system", expected Cash Flows</t>
  </si>
  <si>
    <t>Initial Investment</t>
  </si>
  <si>
    <t>CF1</t>
  </si>
  <si>
    <t>CF2</t>
  </si>
  <si>
    <t>CF3</t>
  </si>
  <si>
    <t>CF4</t>
  </si>
  <si>
    <t>CF5</t>
  </si>
  <si>
    <t>Question 8 - Points 6</t>
  </si>
  <si>
    <t>Miprim is analysing a project for a New CRM system. Cash Flows of the project are shown in the table above.</t>
  </si>
  <si>
    <t>8.1 Calculate the Payback of the project and give advice (should they do or not do the project and why)</t>
  </si>
  <si>
    <r>
      <t xml:space="preserve">8.2 What are the </t>
    </r>
    <r>
      <rPr>
        <b/>
        <sz val="12"/>
        <color theme="1"/>
        <rFont val="Calibri"/>
        <family val="2"/>
        <scheme val="minor"/>
      </rPr>
      <t>main 2 pitfalls</t>
    </r>
    <r>
      <rPr>
        <sz val="12"/>
        <color theme="1"/>
        <rFont val="Calibri"/>
        <family val="2"/>
        <scheme val="minor"/>
      </rPr>
      <t xml:space="preserve"> of using only Payback and when will you suggest to use Payback as a valuation method and why? Justify your answers</t>
    </r>
  </si>
  <si>
    <t>Question 10 - Points 4</t>
  </si>
  <si>
    <t>10. The HR Manager of Miprim is retiring in 5 years and the company would like to give him a Bonus of 10.000 Euros. How much will Miprim have to deposit in the bank today to achieve the 10K target if the CD's of the bank are expected to pay a 9% annual rate compounding every 3 months. Show your calculations</t>
  </si>
  <si>
    <t>Needed end capital end year 10</t>
  </si>
  <si>
    <t>timeline in years</t>
  </si>
  <si>
    <t>Annual interest rate offered by bank</t>
  </si>
  <si>
    <t xml:space="preserve">Compounding </t>
  </si>
  <si>
    <t>semi-annual</t>
  </si>
  <si>
    <t>Question 1 - Points 2</t>
  </si>
  <si>
    <r>
      <t xml:space="preserve">1.1 The CFO of your firm has calculated to the </t>
    </r>
    <r>
      <rPr>
        <b/>
        <sz val="12"/>
        <color theme="1"/>
        <rFont val="Calibri"/>
        <family val="2"/>
        <scheme val="minor"/>
      </rPr>
      <t>cent</t>
    </r>
    <r>
      <rPr>
        <sz val="11"/>
        <color theme="1"/>
        <rFont val="Calibri"/>
        <family val="2"/>
        <scheme val="minor"/>
      </rPr>
      <t xml:space="preserve"> exactly what she needs for her trip around the world 10 years from today and the bank gave her the following terms: see table above.  How much does she need to deposit TODAY to get the necessary amount at the end of year 10? </t>
    </r>
  </si>
  <si>
    <t>Investment</t>
  </si>
  <si>
    <t>Interest expense annually</t>
  </si>
  <si>
    <t>Ke</t>
  </si>
  <si>
    <t>Tax</t>
  </si>
  <si>
    <t>ROA</t>
  </si>
  <si>
    <t>TA/EQUITY</t>
  </si>
  <si>
    <t xml:space="preserve">Economic Life </t>
  </si>
  <si>
    <t>10 years</t>
  </si>
  <si>
    <t>Question 9 - Points 6</t>
  </si>
  <si>
    <t>Chart 1: NPV of different projects</t>
  </si>
  <si>
    <r>
      <t xml:space="preserve">Please answer the questions ( a coloured background) in the white empty cells. You can use Excel (where it says Calculations) or Word (where it says Text. For your convenience, the text part is split into paragraphs). </t>
    </r>
    <r>
      <rPr>
        <sz val="11"/>
        <color theme="1"/>
        <rFont val="Calibri"/>
        <family val="2"/>
        <scheme val="minor"/>
      </rPr>
      <t>Please keep your answer inside the boxes (you can make them bigger if needed).</t>
    </r>
  </si>
  <si>
    <r>
      <t xml:space="preserve">A company wishes to invest in a new hotel based on the chart 1 above:   </t>
    </r>
    <r>
      <rPr>
        <b/>
        <sz val="12"/>
        <color rgb="FFFF0000"/>
        <rFont val="Calibri"/>
        <family val="2"/>
        <scheme val="minor"/>
      </rPr>
      <t>(8 Pts)</t>
    </r>
    <r>
      <rPr>
        <sz val="11"/>
        <color theme="1"/>
        <rFont val="Calibri"/>
        <family val="2"/>
        <scheme val="minor"/>
      </rPr>
      <t xml:space="preserve">
1.1 Which project would you choose based on the IRR%? Justify your answer showing the IRR% </t>
    </r>
    <r>
      <rPr>
        <b/>
        <sz val="12"/>
        <color rgb="FFFF0000"/>
        <rFont val="Calibri"/>
        <family val="2"/>
        <scheme val="minor"/>
      </rPr>
      <t>(2 pts)</t>
    </r>
    <r>
      <rPr>
        <sz val="11"/>
        <color theme="1"/>
        <rFont val="Calibri"/>
        <family val="2"/>
        <scheme val="minor"/>
      </rPr>
      <t xml:space="preserve">
1.2 Which project would you choose at a 5% discount rate? Justify your answer providing the project NPV </t>
    </r>
    <r>
      <rPr>
        <b/>
        <sz val="12"/>
        <color rgb="FFFF0000"/>
        <rFont val="Calibri"/>
        <family val="2"/>
        <scheme val="minor"/>
      </rPr>
      <t>(1 Pt)</t>
    </r>
    <r>
      <rPr>
        <sz val="11"/>
        <color theme="1"/>
        <rFont val="Calibri"/>
        <family val="2"/>
        <scheme val="minor"/>
      </rPr>
      <t xml:space="preserve">
1.3 What is the indifference point between the Hotel Amsterdam Centraal and Hotel Duinweg? Justify your answer providing the correct percentage number </t>
    </r>
    <r>
      <rPr>
        <b/>
        <sz val="12"/>
        <color rgb="FFFF0000"/>
        <rFont val="Calibri"/>
        <family val="2"/>
        <scheme val="minor"/>
      </rPr>
      <t xml:space="preserve">(2 pts) </t>
    </r>
    <r>
      <rPr>
        <sz val="11"/>
        <color theme="1"/>
        <rFont val="Calibri"/>
        <family val="2"/>
        <scheme val="minor"/>
      </rPr>
      <t xml:space="preserve">
1.4 If the investment company manages to finance the project at a WACC rate of 50% would you argue that it could finance one of the projects with a NPV higher than 200,000.00 Eur </t>
    </r>
    <r>
      <rPr>
        <b/>
        <sz val="12"/>
        <color rgb="FFFF0000"/>
        <rFont val="Calibri"/>
        <family val="2"/>
        <scheme val="minor"/>
      </rPr>
      <t>(1 pt)</t>
    </r>
    <r>
      <rPr>
        <sz val="11"/>
        <color theme="1"/>
        <rFont val="Calibri"/>
        <family val="2"/>
        <scheme val="minor"/>
      </rPr>
      <t xml:space="preserve">
1.5 What is the effect of an increase in inflation of 20% on the NPV figures in the table? Explain your answer with logical reasoning and outcome </t>
    </r>
    <r>
      <rPr>
        <b/>
        <sz val="12"/>
        <color rgb="FFFF0000"/>
        <rFont val="Calibri"/>
        <family val="2"/>
        <scheme val="minor"/>
      </rPr>
      <t>(2 pts)</t>
    </r>
  </si>
  <si>
    <t>Table 3: Undiscounted cash flows of a 3 year project. Negative amount represents the investment</t>
  </si>
  <si>
    <t>Table 4: Discount rates</t>
  </si>
  <si>
    <t>Years</t>
  </si>
  <si>
    <t>Discount rates:</t>
  </si>
  <si>
    <t>Cash Flows</t>
  </si>
  <si>
    <r>
      <t xml:space="preserve">Table 3 shows the cash flows of a 3 year project. Determine which of the rates shown in table 4 corresponds to the IRR rate of the project. You need to justify your answers with your calculations (no guessing)  </t>
    </r>
    <r>
      <rPr>
        <b/>
        <sz val="12"/>
        <color rgb="FFFF0000"/>
        <rFont val="Calibri"/>
        <family val="2"/>
        <scheme val="minor"/>
      </rPr>
      <t>(3 pts)</t>
    </r>
  </si>
  <si>
    <t xml:space="preserve">Project </t>
  </si>
  <si>
    <t>Payback</t>
  </si>
  <si>
    <t>IRR</t>
  </si>
  <si>
    <t>3.1 Explain how the IRR of Project A can be higher than Project B, while the NPV of Project B is higher than that of Project A. (2 pts)</t>
  </si>
  <si>
    <t>3.2 Explain in at least two sentences why in general one chooses the project with the highest NPV. (2pts)</t>
  </si>
  <si>
    <t xml:space="preserve">1) Calculate the NPV and the PI of the project based on the following assumptions and, </t>
  </si>
  <si>
    <t xml:space="preserve">2) explain why a project with a PI above 1 should be considered/accepted. </t>
  </si>
  <si>
    <t>An investment of  € 420.000 is made.</t>
  </si>
  <si>
    <t>The revenue amounts to € 220.000 in the first year and grows at 10% per year until year 3. After year 3, revenue is assumed to grow by 3% for ever.</t>
  </si>
  <si>
    <t>The variable costs amount to 30% of the revenues.</t>
  </si>
  <si>
    <t>The fixed costs amount to € 20.000 per year  (excluding tax and depreciation and interest expenses)</t>
  </si>
  <si>
    <t>Interest expenses are €10.000 per year</t>
  </si>
  <si>
    <t>The investment is depreciated at €140.000  per year for 3 years, no residual value</t>
  </si>
  <si>
    <t>The Wacc rate is 7%</t>
  </si>
  <si>
    <t>Tax rate 25%</t>
  </si>
  <si>
    <t xml:space="preserve">Do not forget to Include the Terminal Value in your calculations! </t>
  </si>
  <si>
    <t>For another property Mar del Lago is considering to develop a  water park and they heard they should use NPV to assess the investment.</t>
  </si>
  <si>
    <r>
      <t xml:space="preserve">3.1 Calculate the NPV using the cash flows below, taking into consideration the terminal value. Show your calculations and give a recommendation with a clear justification </t>
    </r>
    <r>
      <rPr>
        <b/>
        <sz val="12"/>
        <color rgb="FFFF0000"/>
        <rFont val="Calibri"/>
        <family val="2"/>
        <scheme val="minor"/>
      </rPr>
      <t>(8 points)</t>
    </r>
  </si>
  <si>
    <r>
      <t xml:space="preserve"> 
3.2 Calculate the Profitability Index and explain the meaning of the result and what it is useful for </t>
    </r>
    <r>
      <rPr>
        <b/>
        <sz val="12"/>
        <color rgb="FFFF0000"/>
        <rFont val="Calibri"/>
        <family val="2"/>
        <scheme val="minor"/>
      </rPr>
      <t>(2 points)</t>
    </r>
  </si>
  <si>
    <t>Year</t>
  </si>
  <si>
    <t>Perpetual Growth
after year 5</t>
  </si>
  <si>
    <t>WACC</t>
  </si>
  <si>
    <t>Water Park</t>
  </si>
  <si>
    <r>
      <t xml:space="preserve">                                      
The management team has come together to decide on what project to invest in, A or B. Based o</t>
    </r>
    <r>
      <rPr>
        <sz val="12"/>
        <rFont val="Calibri"/>
        <family val="2"/>
        <scheme val="minor"/>
      </rPr>
      <t>n table 1 above:
3.1 The marketing manager decided to go for project A. Defend her choice. Clearly explain your answer (so not just because "..." is higher) (</t>
    </r>
    <r>
      <rPr>
        <b/>
        <sz val="12"/>
        <rFont val="Calibri"/>
        <family val="2"/>
        <scheme val="minor"/>
      </rPr>
      <t>2 pts</t>
    </r>
    <r>
      <rPr>
        <sz val="12"/>
        <rFont val="Calibri"/>
        <family val="2"/>
        <scheme val="minor"/>
      </rPr>
      <t>)
3.2 The LBQTH manager decided to go for project B. Defend his choice. Clearly explain your answer (so not just because "..." is higher) (</t>
    </r>
    <r>
      <rPr>
        <b/>
        <sz val="12"/>
        <rFont val="Calibri"/>
        <family val="2"/>
        <scheme val="minor"/>
      </rPr>
      <t>2 pts</t>
    </r>
    <r>
      <rPr>
        <sz val="12"/>
        <rFont val="Calibri"/>
        <family val="2"/>
        <scheme val="minor"/>
      </rPr>
      <t>)
3.3 If the Investment of Project A happens today (T=0), how much was the investment? (</t>
    </r>
    <r>
      <rPr>
        <b/>
        <sz val="12"/>
        <rFont val="Calibri"/>
        <family val="2"/>
        <scheme val="minor"/>
      </rPr>
      <t>2 pts</t>
    </r>
    <r>
      <rPr>
        <sz val="12"/>
        <rFont val="Calibri"/>
        <family val="2"/>
        <scheme val="minor"/>
      </rPr>
      <t>)</t>
    </r>
  </si>
  <si>
    <r>
      <t xml:space="preserve">You intend to make an offer to buy the CrazyHorse restaurant . The accountant provided the following financial information for the year </t>
    </r>
    <r>
      <rPr>
        <b/>
        <sz val="12"/>
        <color rgb="FF000000"/>
        <rFont val="Calibri"/>
        <family val="2"/>
        <scheme val="minor"/>
      </rPr>
      <t>2022.</t>
    </r>
  </si>
  <si>
    <t xml:space="preserve">EBITDA </t>
  </si>
  <si>
    <t xml:space="preserve">EBIT </t>
  </si>
  <si>
    <t xml:space="preserve">Other information available: </t>
  </si>
  <si>
    <t>annual Growth rate CF 2023 till 2027 (5 years)</t>
  </si>
  <si>
    <t>infinite growth rate (g) for the terminal value</t>
  </si>
  <si>
    <t xml:space="preserve">Cashflow (CF) </t>
  </si>
  <si>
    <r>
      <rPr>
        <sz val="11"/>
        <color theme="1"/>
        <rFont val="Calibri"/>
        <family val="2"/>
        <scheme val="minor"/>
      </rPr>
      <t>You would like to acquire the CrazyHorse restaurant  effective  date 1.1.2023. 
Please calculate the maximum purchase price using the WACC made available.  Do not forget Terminal Value.</t>
    </r>
    <r>
      <rPr>
        <b/>
        <sz val="12"/>
        <color theme="1"/>
        <rFont val="Calibri"/>
        <family val="2"/>
        <scheme val="minor"/>
      </rPr>
      <t xml:space="preserve">
</t>
    </r>
  </si>
  <si>
    <t>Project Alphaville is about a new technology in meeting rooms.</t>
  </si>
  <si>
    <t>The management wants to pursue a growth strategy and attract new business customers. The following financial information was made available.</t>
  </si>
  <si>
    <t>Required investment is Euro 100'000 in year zero (31.12.2020).</t>
  </si>
  <si>
    <t>Cash flows in years 0 to 5</t>
  </si>
  <si>
    <t>6.1  Based on the information above, please calculate or approximate (estimate) the IRR . 
If you calculate, show your calculation. If you estimate, you can not be wrong more than 3% points.  
6.2 Based on your calculated or estimated IRR, please write a recommendation to your manager.</t>
  </si>
  <si>
    <t>Bolliers, a well-known international  real  estate  advisory  and  investment  management company, is looking at three investment options (North, Central and South) in a major European city.   
They have drawn up this chart of NPV's.  (9 Pts)</t>
  </si>
  <si>
    <r>
      <t>1.1</t>
    </r>
    <r>
      <rPr>
        <sz val="12"/>
        <color rgb="FF000000"/>
        <rFont val="Calibri"/>
        <family val="2"/>
      </rPr>
      <t xml:space="preserve"> If you are asked to base your decision on IRR only and disregard all other capital budgeting models, which project would you choose and why? </t>
    </r>
    <r>
      <rPr>
        <b/>
        <sz val="12"/>
        <color rgb="FFFF0000"/>
        <rFont val="Calibri"/>
        <family val="2"/>
      </rPr>
      <t>(2 pts)</t>
    </r>
  </si>
  <si>
    <r>
      <t xml:space="preserve">1.2 </t>
    </r>
    <r>
      <rPr>
        <sz val="12"/>
        <color rgb="FF000000"/>
        <rFont val="Calibri"/>
        <family val="2"/>
      </rPr>
      <t xml:space="preserve">Give a plausible explanation for the fact that the NPV  for Hotel South drops more quickly than the NPV for the other two </t>
    </r>
    <r>
      <rPr>
        <b/>
        <sz val="12"/>
        <color rgb="FFFF0000"/>
        <rFont val="Calibri"/>
        <family val="2"/>
      </rPr>
      <t>(2 pts).</t>
    </r>
  </si>
  <si>
    <r>
      <t>1.3</t>
    </r>
    <r>
      <rPr>
        <sz val="12"/>
        <color rgb="FF000000"/>
        <rFont val="Calibri"/>
        <family val="2"/>
      </rPr>
      <t xml:space="preserve"> Where is the indifference point between the Hotel North and Hotel South and what is its meaning ? </t>
    </r>
    <r>
      <rPr>
        <b/>
        <sz val="12"/>
        <color rgb="FFFF0000"/>
        <rFont val="Calibri"/>
        <family val="2"/>
      </rPr>
      <t>(2 pts)</t>
    </r>
    <r>
      <rPr>
        <sz val="12"/>
        <color rgb="FF000000"/>
        <rFont val="Calibri"/>
        <family val="2"/>
      </rPr>
      <t xml:space="preserve"> </t>
    </r>
  </si>
  <si>
    <r>
      <t>1.4</t>
    </r>
    <r>
      <rPr>
        <sz val="12"/>
        <color rgb="FF000000"/>
        <rFont val="Calibri"/>
        <family val="2"/>
      </rPr>
      <t xml:space="preserve"> If the WACC rate for these investments is set at 50%,  and the minimum required NPV is 200.000, would you advise any of the three projects and why?</t>
    </r>
    <r>
      <rPr>
        <b/>
        <sz val="12"/>
        <color rgb="FF000000"/>
        <rFont val="Calibri"/>
        <family val="2"/>
      </rPr>
      <t xml:space="preserve"> </t>
    </r>
    <r>
      <rPr>
        <b/>
        <sz val="12"/>
        <color rgb="FFFF0000"/>
        <rFont val="Calibri"/>
        <family val="2"/>
      </rPr>
      <t>(1 pt)</t>
    </r>
  </si>
  <si>
    <r>
      <t>1.5</t>
    </r>
    <r>
      <rPr>
        <sz val="12"/>
        <color rgb="FF000000"/>
        <rFont val="Calibri"/>
        <family val="2"/>
      </rPr>
      <t xml:space="preserve"> In a meeting, the Bolliers' boss tells everyone that his selection decision is solely based on which project has the highest NPV. Is your boss right or wrong?  Explain your answer</t>
    </r>
    <r>
      <rPr>
        <b/>
        <sz val="12"/>
        <color rgb="FFFF0000"/>
        <rFont val="Calibri"/>
        <family val="2"/>
      </rPr>
      <t xml:space="preserve"> (2 pts)</t>
    </r>
  </si>
  <si>
    <r>
      <rPr>
        <sz val="12"/>
        <color rgb="FF000000"/>
        <rFont val="Calibri"/>
        <family val="2"/>
      </rPr>
      <t xml:space="preserve">You have the chance to acquire Joe’s Pizza. Use the discounted cashflow model in combination with the information below to calculate the maximum price you are willing to pay.                                                                                     
Do not forget to use the Terminal Value in your model.  Clearly mention the maximum price you are willing to pay and why. </t>
    </r>
    <r>
      <rPr>
        <b/>
        <sz val="12"/>
        <color rgb="FFFF0000"/>
        <rFont val="Calibri"/>
        <family val="2"/>
      </rPr>
      <t>(12 pts)</t>
    </r>
  </si>
  <si>
    <r>
      <t xml:space="preserve">Revenue forecast: </t>
    </r>
    <r>
      <rPr>
        <b/>
        <sz val="12"/>
        <color rgb="FFFF0000"/>
        <rFont val="Calibri"/>
        <family val="2"/>
      </rPr>
      <t>750,000</t>
    </r>
    <r>
      <rPr>
        <b/>
        <sz val="12"/>
        <color rgb="FF000000"/>
        <rFont val="Calibri"/>
        <family val="2"/>
      </rPr>
      <t xml:space="preserve"> in the first year, then growing at </t>
    </r>
    <r>
      <rPr>
        <b/>
        <sz val="12"/>
        <color rgb="FFFF0000"/>
        <rFont val="Calibri"/>
        <family val="2"/>
      </rPr>
      <t>8%</t>
    </r>
    <r>
      <rPr>
        <b/>
        <sz val="12"/>
        <color rgb="FF000000"/>
        <rFont val="Calibri"/>
        <family val="2"/>
      </rPr>
      <t xml:space="preserve"> per year for 2 years.</t>
    </r>
  </si>
  <si>
    <r>
      <t xml:space="preserve">Variable costs: </t>
    </r>
    <r>
      <rPr>
        <b/>
        <sz val="12"/>
        <color rgb="FFFF0000"/>
        <rFont val="Calibri"/>
        <family val="2"/>
      </rPr>
      <t xml:space="preserve">24% </t>
    </r>
    <r>
      <rPr>
        <b/>
        <sz val="12"/>
        <color rgb="FF000000"/>
        <rFont val="Calibri"/>
        <family val="2"/>
      </rPr>
      <t>of the revenues.</t>
    </r>
  </si>
  <si>
    <r>
      <t xml:space="preserve">Fixed costs: </t>
    </r>
    <r>
      <rPr>
        <b/>
        <sz val="12"/>
        <color rgb="FFFF0000"/>
        <rFont val="Calibri"/>
        <family val="2"/>
      </rPr>
      <t xml:space="preserve">30,000 </t>
    </r>
    <r>
      <rPr>
        <b/>
        <sz val="12"/>
        <color rgb="FF000000"/>
        <rFont val="Calibri"/>
        <family val="2"/>
      </rPr>
      <t xml:space="preserve"> (excluding tax and depreciation and interest expenses)</t>
    </r>
  </si>
  <si>
    <r>
      <t xml:space="preserve">Wacc rate: </t>
    </r>
    <r>
      <rPr>
        <b/>
        <sz val="12"/>
        <color rgb="FFFF0000"/>
        <rFont val="Calibri"/>
        <family val="2"/>
      </rPr>
      <t>8%</t>
    </r>
  </si>
  <si>
    <r>
      <t xml:space="preserve">Interest per year: </t>
    </r>
    <r>
      <rPr>
        <b/>
        <sz val="12"/>
        <color rgb="FFFF0000"/>
        <rFont val="Calibri"/>
        <family val="2"/>
      </rPr>
      <t xml:space="preserve">10,000 </t>
    </r>
  </si>
  <si>
    <r>
      <t xml:space="preserve">The company's annual growth rate  after year 3: </t>
    </r>
    <r>
      <rPr>
        <b/>
        <sz val="12"/>
        <color rgb="FFFF0000"/>
        <rFont val="Calibri"/>
        <family val="2"/>
      </rPr>
      <t xml:space="preserve">2% </t>
    </r>
    <r>
      <rPr>
        <b/>
        <sz val="12"/>
        <color rgb="FF000000"/>
        <rFont val="Calibri"/>
        <family val="2"/>
      </rPr>
      <t>a year</t>
    </r>
  </si>
  <si>
    <r>
      <t>Depreciation:</t>
    </r>
    <r>
      <rPr>
        <b/>
        <sz val="12"/>
        <color rgb="FFFF0000"/>
        <rFont val="Calibri"/>
        <family val="2"/>
      </rPr>
      <t xml:space="preserve"> 80,000 </t>
    </r>
    <r>
      <rPr>
        <b/>
        <sz val="12"/>
        <color rgb="FF000000"/>
        <rFont val="Calibri"/>
        <family val="2"/>
      </rPr>
      <t xml:space="preserve"> per year </t>
    </r>
  </si>
  <si>
    <r>
      <t xml:space="preserve">Tax rate: </t>
    </r>
    <r>
      <rPr>
        <b/>
        <sz val="12"/>
        <color rgb="FFFF0000"/>
        <rFont val="Calibri"/>
        <family val="2"/>
      </rPr>
      <t>20%</t>
    </r>
  </si>
  <si>
    <t>Include the Terminal value in your calculation</t>
  </si>
  <si>
    <t>9.1 Miprim is analysing 2 projects to decide if they are worth investing in. Project A has an IRR of 6% and Project B has an IRR of 15%. Inflation for the duration of the project is expected to be 2%. Should Miprim invest in project A or B? In both? Or in none? Justify your answer!</t>
  </si>
  <si>
    <t>9.2 The WACC formula uses Cost of Debt and Cost of Equity. Which one is usually higher? Justify your answer</t>
  </si>
  <si>
    <t>Question 2 - Points 4</t>
  </si>
  <si>
    <r>
      <t xml:space="preserve">The CEO of your firm is using only the </t>
    </r>
    <r>
      <rPr>
        <b/>
        <sz val="12"/>
        <color theme="1"/>
        <rFont val="Calibri"/>
        <family val="2"/>
        <scheme val="minor"/>
      </rPr>
      <t>COMBINATION</t>
    </r>
    <r>
      <rPr>
        <sz val="11"/>
        <color theme="1"/>
        <rFont val="Calibri"/>
        <family val="2"/>
        <scheme val="minor"/>
      </rPr>
      <t xml:space="preserve"> of PI score and IRR score to determine in which projects to invest. Give two drawbacks of the </t>
    </r>
    <r>
      <rPr>
        <b/>
        <sz val="12"/>
        <color theme="1"/>
        <rFont val="Calibri"/>
        <family val="2"/>
        <scheme val="minor"/>
      </rPr>
      <t>COMBINED</t>
    </r>
    <r>
      <rPr>
        <sz val="11"/>
        <color theme="1"/>
        <rFont val="Calibri"/>
        <family val="2"/>
        <scheme val="minor"/>
      </rPr>
      <t xml:space="preserve"> use of these two capital budgeting methods (so be careful, as the </t>
    </r>
    <r>
      <rPr>
        <b/>
        <sz val="12"/>
        <color theme="1"/>
        <rFont val="Calibri"/>
        <family val="2"/>
        <scheme val="minor"/>
      </rPr>
      <t>COMBINATION</t>
    </r>
    <r>
      <rPr>
        <sz val="11"/>
        <color theme="1"/>
        <rFont val="Calibri"/>
        <family val="2"/>
        <scheme val="minor"/>
      </rPr>
      <t xml:space="preserve"> of these two CBMs already cancel out some of the drawbacks each CBM has individually..).</t>
    </r>
  </si>
  <si>
    <t>Project</t>
  </si>
  <si>
    <t>Question 6 - Points 6</t>
  </si>
  <si>
    <t>6.1 The CFO tells you she intends to ignore the NPV and just choose the project with highest IRR. Explain if using only IRR scores to make investment decisions is wise. Clearly explain your answer!</t>
  </si>
  <si>
    <r>
      <t xml:space="preserve">6.2 Your CEO thinks that the best project is always the one with the highest NPV score. Please provide </t>
    </r>
    <r>
      <rPr>
        <b/>
        <sz val="12"/>
        <color theme="1"/>
        <rFont val="Calibri"/>
        <family val="2"/>
        <scheme val="minor"/>
      </rPr>
      <t>1</t>
    </r>
    <r>
      <rPr>
        <sz val="11"/>
        <color theme="1"/>
        <rFont val="Calibri"/>
        <family val="2"/>
        <scheme val="minor"/>
      </rPr>
      <t xml:space="preserve"> argument </t>
    </r>
    <r>
      <rPr>
        <b/>
        <sz val="12"/>
        <color theme="1"/>
        <rFont val="Calibri"/>
        <family val="2"/>
        <scheme val="minor"/>
      </rPr>
      <t>in favour</t>
    </r>
    <r>
      <rPr>
        <sz val="11"/>
        <color theme="1"/>
        <rFont val="Calibri"/>
        <family val="2"/>
        <scheme val="minor"/>
      </rPr>
      <t xml:space="preserve"> </t>
    </r>
    <r>
      <rPr>
        <u/>
        <sz val="12"/>
        <color theme="1"/>
        <rFont val="Calibri"/>
        <family val="2"/>
        <scheme val="minor"/>
      </rPr>
      <t>AND</t>
    </r>
    <r>
      <rPr>
        <sz val="11"/>
        <color theme="1"/>
        <rFont val="Calibri"/>
        <family val="2"/>
        <scheme val="minor"/>
      </rPr>
      <t xml:space="preserve"> </t>
    </r>
    <r>
      <rPr>
        <b/>
        <sz val="12"/>
        <color theme="1"/>
        <rFont val="Calibri"/>
        <family val="2"/>
        <scheme val="minor"/>
      </rPr>
      <t>1</t>
    </r>
    <r>
      <rPr>
        <sz val="11"/>
        <color theme="1"/>
        <rFont val="Calibri"/>
        <family val="2"/>
        <scheme val="minor"/>
      </rPr>
      <t xml:space="preserve"> </t>
    </r>
    <r>
      <rPr>
        <b/>
        <sz val="12"/>
        <color theme="1"/>
        <rFont val="Calibri"/>
        <family val="2"/>
        <scheme val="minor"/>
      </rPr>
      <t>against</t>
    </r>
    <r>
      <rPr>
        <sz val="11"/>
        <color theme="1"/>
        <rFont val="Calibri"/>
        <family val="2"/>
        <scheme val="minor"/>
      </rPr>
      <t xml:space="preserve"> his statement. And </t>
    </r>
    <r>
      <rPr>
        <b/>
        <sz val="12"/>
        <color theme="1"/>
        <rFont val="Calibri"/>
        <family val="2"/>
        <scheme val="minor"/>
      </rPr>
      <t>EXPLAIN</t>
    </r>
    <r>
      <rPr>
        <sz val="11"/>
        <color theme="1"/>
        <rFont val="Calibri"/>
        <family val="2"/>
        <scheme val="minor"/>
      </rPr>
      <t xml:space="preserve"> your answer!</t>
    </r>
  </si>
  <si>
    <r>
      <t xml:space="preserve">6.3 Explain why it is possible that option B has the highest NPV, but not the highest IRR. Provide </t>
    </r>
    <r>
      <rPr>
        <b/>
        <sz val="12"/>
        <color theme="1"/>
        <rFont val="Calibri"/>
        <family val="2"/>
        <scheme val="minor"/>
      </rPr>
      <t>2 reasons</t>
    </r>
    <r>
      <rPr>
        <sz val="11"/>
        <color theme="1"/>
        <rFont val="Calibri"/>
        <family val="2"/>
        <scheme val="minor"/>
      </rPr>
      <t xml:space="preserve"> and </t>
    </r>
    <r>
      <rPr>
        <b/>
        <sz val="12"/>
        <color theme="1"/>
        <rFont val="Calibri"/>
        <family val="2"/>
        <scheme val="minor"/>
      </rPr>
      <t>EXPLAIN</t>
    </r>
    <r>
      <rPr>
        <sz val="11"/>
        <color theme="1"/>
        <rFont val="Calibri"/>
        <family val="2"/>
        <scheme val="minor"/>
      </rPr>
      <t xml:space="preserve"> your answers!</t>
    </r>
    <r>
      <rPr>
        <sz val="12"/>
        <color rgb="FFFF0000"/>
        <rFont val="Calibri"/>
        <family val="2"/>
        <scheme val="minor"/>
      </rPr>
      <t xml:space="preserve"> </t>
    </r>
  </si>
  <si>
    <t xml:space="preserve">
Q 6.1  You open your restaurant on January 1, 2023 with 10,000 Euro in the bank account. What is the cash balance end of January 2023? (2 points)
</t>
  </si>
  <si>
    <r>
      <t>●</t>
    </r>
    <r>
      <rPr>
        <sz val="12"/>
        <color rgb="FF000000"/>
        <rFont val="Raleway Medium"/>
      </rPr>
      <t>Can you explain what makes valuing hospitality real estate so complex?</t>
    </r>
  </si>
  <si>
    <r>
      <t>●</t>
    </r>
    <r>
      <rPr>
        <sz val="12"/>
        <color rgb="FF000000"/>
        <rFont val="Raleway Medium"/>
      </rPr>
      <t>Can you explain the difference between an operator, real estate owner, asset manager, a brand, and a management company?</t>
    </r>
  </si>
  <si>
    <r>
      <t>●</t>
    </r>
    <r>
      <rPr>
        <sz val="12"/>
        <color rgb="FF000000"/>
        <rFont val="Raleway Medium"/>
      </rPr>
      <t>Can you explain why hospitality real estate is more or less risky than other types of commercial real estate?</t>
    </r>
  </si>
  <si>
    <r>
      <t>●</t>
    </r>
    <r>
      <rPr>
        <sz val="12"/>
        <color rgb="FF000000"/>
        <rFont val="Raleway Medium"/>
      </rPr>
      <t>Can you explain what gross initial yield and net initial yield are?</t>
    </r>
  </si>
  <si>
    <r>
      <t>●</t>
    </r>
    <r>
      <rPr>
        <sz val="12"/>
        <color rgb="FF000000"/>
        <rFont val="Raleway Medium"/>
      </rPr>
      <t>Can you explain why a lot of operators prefer NOT to own the real estate in which they operate?</t>
    </r>
  </si>
  <si>
    <r>
      <t>●</t>
    </r>
    <r>
      <rPr>
        <sz val="12"/>
        <color rgb="FF000000"/>
        <rFont val="Raleway Medium"/>
      </rPr>
      <t>Can you explain the downside for the operator of not owning the real estate in which it operates?</t>
    </r>
  </si>
  <si>
    <r>
      <t>●</t>
    </r>
    <r>
      <rPr>
        <sz val="12"/>
        <color rgb="FF000000"/>
        <rFont val="Raleway Medium"/>
      </rPr>
      <t xml:space="preserve">Can you explain why the financial success of an operator often has an impact on the valuation of the real estate in which the operations take place? </t>
    </r>
  </si>
  <si>
    <t>Other questions to consider:</t>
  </si>
  <si>
    <r>
      <t xml:space="preserve">  An investment of  €480,000 is made. Calculate the NPV and the PI of the project based on the following assumptions: </t>
    </r>
    <r>
      <rPr>
        <b/>
        <sz val="12"/>
        <color rgb="FFFF0000"/>
        <rFont val="Calibri"/>
        <family val="2"/>
        <scheme val="minor"/>
      </rPr>
      <t>(12 pts)</t>
    </r>
    <r>
      <rPr>
        <sz val="12"/>
        <color rgb="FF000000"/>
        <rFont val="Calibri"/>
        <family val="2"/>
        <scheme val="minor"/>
      </rPr>
      <t xml:space="preserve">
The revenue amounts to € 450,000 in the first year and grows at 12% per year for 3 years.
The variable costs amount to 24% of the revenues.
The fixed costs amount to € 30,000  (excluding tax and depreciation and interest expenses)
The Wacc rate is 8%
Interest per year is €10,000 
The company's </t>
    </r>
    <r>
      <rPr>
        <b/>
        <sz val="12"/>
        <color rgb="FF000000"/>
        <rFont val="Calibri"/>
        <family val="2"/>
        <scheme val="minor"/>
      </rPr>
      <t>growth rate</t>
    </r>
    <r>
      <rPr>
        <sz val="12"/>
        <color rgb="FF000000"/>
        <rFont val="Calibri"/>
        <family val="2"/>
        <scheme val="minor"/>
      </rPr>
      <t xml:space="preserve"> is assumed to stabilise at 2% a year after year 3.
The investment is depreciated at €160,000.00  per year for 3 years
Tax rate 20%
Include the Terminal value in your calculation. Assume no change in NOWC and no CapEx.</t>
    </r>
  </si>
  <si>
    <t>Assume no change in NOWC and no CapEx.</t>
  </si>
  <si>
    <r>
      <rPr>
        <b/>
        <sz val="12"/>
        <color rgb="FF000000"/>
        <rFont val="Calibri"/>
        <family val="2"/>
        <scheme val="minor"/>
      </rPr>
      <t xml:space="preserve">
Calculate the maximum price one should pay for this investment. They have the following information:
</t>
    </r>
    <r>
      <rPr>
        <sz val="12"/>
        <color rgb="FF000000"/>
        <rFont val="Calibri"/>
        <family val="2"/>
        <scheme val="minor"/>
      </rPr>
      <t xml:space="preserve">
-Assume depreciation expense is EUR 100.000 per year.
-EBITDA for year 1 is EUR 50.000 and wil grow by 200% in year 2 and 90% in year 3 (so model only year 1, 2 and 3).  
-Debt is EUR 500.000 and the interest rate is 2%
-Tax rate is  50% 
-WACC is 6%
-Terminal growth phase is expected to start straight after year 3, at which the relevant cash flow is expected to grow at 2% for ever
--Do not forget the include the Terminal Value. 
--Assume no change in NOWC and no CapEx.</t>
    </r>
  </si>
  <si>
    <t>assume no change in NOWC and no CapEx.</t>
  </si>
  <si>
    <t>Hotel Edelweiss - Balance Sheet</t>
  </si>
  <si>
    <t>Hotel Edelweiss- Income Statement</t>
  </si>
  <si>
    <t xml:space="preserve">Please note that the Balance Sheets given show December 31st of 2021 and December 31st of 2022, and Income Statement cover the full calendar year. </t>
  </si>
  <si>
    <t>Question 15 - Points 10</t>
  </si>
  <si>
    <r>
      <t xml:space="preserve">15.1 Calculate the Cash Conversion Cycle (CCC) of the entire Hotel Edelweiss (so all operated departments together). See financial statements above for your calculations. AND use </t>
    </r>
    <r>
      <rPr>
        <b/>
        <sz val="12"/>
        <color theme="1"/>
        <rFont val="Calibri"/>
        <family val="2"/>
        <scheme val="minor"/>
      </rPr>
      <t>averages</t>
    </r>
    <r>
      <rPr>
        <sz val="12"/>
        <color theme="1"/>
        <rFont val="Calibri"/>
        <family val="2"/>
        <scheme val="minor"/>
      </rPr>
      <t xml:space="preserve"> on the balance sheet items used in your calculations. </t>
    </r>
  </si>
  <si>
    <t>15.2 Your CFO wants to order smaller quantities of inventories to improve the CCC. Clearly explain how and why this would improve the CCC. Also, mention one possible downside to your CFO's decision.</t>
  </si>
  <si>
    <t xml:space="preserve">15.3 Calculate the Net Operating Working Capital (NOWC) for Hotel Edelweiss in 2022. Show each line item used and your calculation. </t>
  </si>
  <si>
    <t>15.4 If NOWC goes up next year, would that have a FINANCING consequence (if so, indicate what that consequence is)? Explain your answer.</t>
  </si>
  <si>
    <t>14.1 What is your preferred value of inventory turnover high or low? Why?</t>
  </si>
  <si>
    <r>
      <t xml:space="preserve">13.1 Calculate Mirage's CCC  </t>
    </r>
    <r>
      <rPr>
        <b/>
        <u/>
        <sz val="12"/>
        <color theme="1"/>
        <rFont val="Calibri"/>
        <family val="2"/>
        <scheme val="minor"/>
      </rPr>
      <t xml:space="preserve">using the year average for all balance sheet items in the ratios. </t>
    </r>
    <r>
      <rPr>
        <sz val="11"/>
        <color theme="1"/>
        <rFont val="Calibri"/>
        <family val="2"/>
        <scheme val="minor"/>
      </rPr>
      <t>Show your calculations.</t>
    </r>
  </si>
  <si>
    <t>13.2 Out of the 3 ratios making up the CCC, pick one that in your opinion we should be able to improve and give a specific action to improve it.</t>
  </si>
  <si>
    <t xml:space="preserve">14.2 Please explain a possible risk/problem if you succeed on what you proposed, justify. </t>
  </si>
  <si>
    <t>The new CFO:</t>
  </si>
  <si>
    <t>Hotel Eden</t>
  </si>
  <si>
    <t xml:space="preserve">The old CFO has been replaced with a new one, see LinkedIn profile picture above. On his first day, he shows you a valuation table about an investment opportunity, Hotel Eden (see above). What are your comments on the data the CFO is showing you? In other words, can the CFO make a decision based on the provided table? Explain your answer by giving 2 arguments. </t>
  </si>
  <si>
    <t>Question 20 - Points 6</t>
  </si>
  <si>
    <t>20.1 Calculate the WACC using the info from the table above.</t>
  </si>
  <si>
    <r>
      <t xml:space="preserve">20.2 If the tax rate increases, will the WACC increase, decrease or remain the same? </t>
    </r>
    <r>
      <rPr>
        <b/>
        <sz val="12"/>
        <color theme="1"/>
        <rFont val="Calibri"/>
        <family val="2"/>
        <scheme val="minor"/>
      </rPr>
      <t>Explain your answer</t>
    </r>
    <r>
      <rPr>
        <sz val="11"/>
        <color theme="1"/>
        <rFont val="Calibri"/>
        <family val="2"/>
        <scheme val="minor"/>
      </rPr>
      <t>!</t>
    </r>
  </si>
  <si>
    <t>Question 21 - Points 4</t>
  </si>
  <si>
    <t>g, after year 3</t>
  </si>
  <si>
    <t>Revenue year 1</t>
  </si>
  <si>
    <t>Revenue growth year 2</t>
  </si>
  <si>
    <t>Revenue growth year 3</t>
  </si>
  <si>
    <t>EBITDA margin for all years</t>
  </si>
  <si>
    <t>Capital expenditures, yearly</t>
  </si>
  <si>
    <t>Depreciation and Amortization expense each year</t>
  </si>
  <si>
    <t>Net Operating Working Capital year 1</t>
  </si>
  <si>
    <t>NOWC change year 2 and year 3 each</t>
  </si>
  <si>
    <t>Interest Expenses</t>
  </si>
  <si>
    <t>Question 16 - Points 14</t>
  </si>
  <si>
    <t>The following questions are about the Hospitality sector and or hospitality real estate.</t>
  </si>
  <si>
    <t>Question 1 - Points 6</t>
  </si>
  <si>
    <t>Additional information Question 8</t>
  </si>
  <si>
    <t>See the cash flow statement above which is in dollars, with comma as thousand seperators and a point as decimal deeparator (so cash dividends 2022 are 337000 negative, and thus negative numbers are shown between ( ) &lt;-- so beware!). Both 2021 and 2022 are made on 31st of December.</t>
  </si>
  <si>
    <t>Question 18 - Points 4</t>
  </si>
  <si>
    <t>18.1 In the Operating Cash flow, name the biggest point for concern and explain what company could do about it (so explain why it is the biggest concern and give a specific measure).</t>
  </si>
  <si>
    <t xml:space="preserve">18.2 Describe what happened in buildings and equipment in 2021 and 2022, Be precise in your answer. </t>
  </si>
  <si>
    <t>1.1 Explain why (and be specific!) hotel/lodging investments are deemed higher risk than normal commercial real estate such as residential housing investments.</t>
  </si>
  <si>
    <t xml:space="preserve">1.2 Explain why and how a long term management agreement can have a NEGATIVE impact on the value of a hotel's operations. </t>
  </si>
  <si>
    <t>1.3 Give one reason why it would be a good thing for a hotel operator to also own the real estate in which it operates.</t>
  </si>
  <si>
    <t>1.4 Give one reason why it would be a bad thing for a hotel operator to also own the real estate in which it operates.</t>
  </si>
  <si>
    <r>
      <rPr>
        <b/>
        <sz val="18"/>
        <color rgb="FFFF0000"/>
        <rFont val="Calibri"/>
        <family val="2"/>
        <scheme val="minor"/>
      </rPr>
      <t xml:space="preserve">Question 3 </t>
    </r>
    <r>
      <rPr>
        <b/>
        <sz val="18"/>
        <color theme="1"/>
        <rFont val="Calibri"/>
        <family val="2"/>
        <scheme val="minor"/>
      </rPr>
      <t>Financial Details</t>
    </r>
  </si>
  <si>
    <t>Restaurant Periodica - Balance Sheet</t>
  </si>
  <si>
    <t>Furniture and equipment</t>
  </si>
  <si>
    <t>Building</t>
  </si>
  <si>
    <t xml:space="preserve">Total assets </t>
  </si>
  <si>
    <t>Account payable</t>
  </si>
  <si>
    <t>Curent part of Bank loan</t>
  </si>
  <si>
    <t>Bank loan</t>
  </si>
  <si>
    <t>Common stock</t>
  </si>
  <si>
    <t>Total Liabilities and equity</t>
  </si>
  <si>
    <t>Income Statement ending 31/12/2023</t>
  </si>
  <si>
    <t>Restaurant Periodica- Income Statement 2023</t>
  </si>
  <si>
    <t>Food revenue</t>
  </si>
  <si>
    <t>Beverage revenue</t>
  </si>
  <si>
    <t>Total  revenue</t>
  </si>
  <si>
    <t>Total COS (food + beverage)</t>
  </si>
  <si>
    <t>Payroll expenses</t>
  </si>
  <si>
    <t>Other operating expenses</t>
  </si>
  <si>
    <t>Income before tax</t>
  </si>
  <si>
    <t>Restaurant Periodica is located in the business district of the city of Milan.</t>
  </si>
  <si>
    <t>The restaurant is well known for its extensive range of wines.</t>
  </si>
  <si>
    <t>The restaurant is popular with people who live in Milan as well as with companies who entertain business relations by taking them for lunch or dinner.</t>
  </si>
  <si>
    <t>Guests who are regular customers at the restaurant, as well as corporate customers are extended credit, the restaurant sends them an invoice by email.</t>
  </si>
  <si>
    <t xml:space="preserve">Please note that the Balance Sheets given show December 31st of 2021 and December 31st of 2022, and Income Statement covers the full calendar year. </t>
  </si>
  <si>
    <t xml:space="preserve"> 3.1 Calculate the Cash Conversion Cycle (in days). Show your calculations and include the numbers for  PDP, IHP and ACP in your answer. Use averages of the balance sheet items for your calculations. </t>
  </si>
  <si>
    <t xml:space="preserve">3.2 Calculate the change in NOWC between 31 December 2022 and 31 December 2023. Explain whether the Financial manager will judge this change as an improvement or a negative development FINANCING wise. </t>
  </si>
  <si>
    <t>Company Excellent</t>
  </si>
  <si>
    <t>tax</t>
  </si>
  <si>
    <t>Revenue growth yr1 to 3yr</t>
  </si>
  <si>
    <t>EBITDA margin each year</t>
  </si>
  <si>
    <t>Depreciation &amp; Amortization each year</t>
  </si>
  <si>
    <t>Interest expense each year</t>
  </si>
  <si>
    <t>Capex each year</t>
  </si>
  <si>
    <t>Change in NOWC each year</t>
  </si>
  <si>
    <t>Revenues on credit</t>
  </si>
  <si>
    <r>
      <t xml:space="preserve">Based on the table above and using the discounting method based on FCFF, calculate the maximum price one would be willing to pay for this company. </t>
    </r>
    <r>
      <rPr>
        <b/>
        <sz val="16"/>
        <color theme="1"/>
        <rFont val="Calibri"/>
        <family val="2"/>
        <scheme val="minor"/>
      </rPr>
      <t>So model 3 years</t>
    </r>
    <r>
      <rPr>
        <sz val="16"/>
        <color theme="1"/>
        <rFont val="Calibri"/>
        <family val="2"/>
        <scheme val="minor"/>
      </rPr>
      <t xml:space="preserve"> and </t>
    </r>
    <r>
      <rPr>
        <b/>
        <sz val="16"/>
        <color theme="1"/>
        <rFont val="Calibri"/>
        <family val="2"/>
        <scheme val="minor"/>
      </rPr>
      <t>do not forget to include Terminal Value</t>
    </r>
    <r>
      <rPr>
        <sz val="16"/>
        <color theme="1"/>
        <rFont val="Calibri"/>
        <family val="2"/>
        <scheme val="minor"/>
      </rPr>
      <t xml:space="preserve"> in your calculation and clearly show every line item (Sales, EBITDA,.. etc) relevant to this valuation. Also clearly LABEL your answers and finally indicate the MAX PRICE you are willing to pay. </t>
    </r>
  </si>
  <si>
    <t>Option</t>
  </si>
  <si>
    <t>NA</t>
  </si>
  <si>
    <t>Investment (EUR)</t>
  </si>
  <si>
    <t>NA  =Not Available i.e. not provided</t>
  </si>
  <si>
    <t xml:space="preserve">Your CEO likes the IRR, but you, as his right hand, have to make sure he will use it correctly. In the table above he summarised the 3 different ideas pitched to him by three different financial consultants. As these three persons  did not all hand in the same amount of data, the metrics (NPV, IRR, etc) in the table are not all known. Explain (justify) for each option (so A, B, and C) if there is enough data to make an investment decison.    </t>
  </si>
  <si>
    <t>Question 5 - Points 6</t>
  </si>
  <si>
    <t xml:space="preserve">6.1 If you are thinking of buying hospitality real estate, you have to do a valuation of course. Is it then better to base that valuation on de Gross Initial Yield, or the Net Initial Yield. Explain your answer. </t>
  </si>
  <si>
    <t xml:space="preserve">6.2 In Europe most owners of a hospitality operations do NOT own the real estate. Give, for both the real estate owner and the owner of the operations, 1 argument in favour and 1 against (so for the real estate owner it is good because of … and  a drawback is.... Then do the same for the owner of the operations. In total 4 answers). </t>
  </si>
  <si>
    <t>6.3 If real estate investors are demanding a yield of 8%  and  the relevant rental income per year is 10.000, what is the value of the building?</t>
  </si>
  <si>
    <t xml:space="preserve">6.4 Explain clearly what generally happens to the value of real estate if interest rates drop. </t>
  </si>
  <si>
    <t>Question 6 - Points 10</t>
  </si>
  <si>
    <t>(Annual Financials in Millions of US Dollars)</t>
  </si>
  <si>
    <t>Year ending on 31st of December</t>
  </si>
  <si>
    <t>Net
Income</t>
  </si>
  <si>
    <t>Change in Accounts Receivable</t>
  </si>
  <si>
    <t>Change in Accounts Payable</t>
  </si>
  <si>
    <t>Change in Income Taxes</t>
  </si>
  <si>
    <r>
      <t>7.1.</t>
    </r>
    <r>
      <rPr>
        <b/>
        <sz val="12"/>
        <color rgb="FFFF0000"/>
        <rFont val="Calibri"/>
        <family val="2"/>
        <scheme val="minor"/>
      </rPr>
      <t>ONLY</t>
    </r>
    <r>
      <rPr>
        <sz val="12"/>
        <rFont val="Calibri"/>
        <family val="2"/>
        <scheme val="minor"/>
      </rPr>
      <t xml:space="preserve"> looking at Cash from Operating Activities, is this company in a growth, mature, or declining phase? Give most plausible answer and clearly explain your argumentation.</t>
    </r>
  </si>
  <si>
    <r>
      <t>7.2.</t>
    </r>
    <r>
      <rPr>
        <b/>
        <sz val="12"/>
        <color rgb="FFFF0000"/>
        <rFont val="Calibri"/>
        <family val="2"/>
        <scheme val="minor"/>
      </rPr>
      <t>ONLY</t>
    </r>
    <r>
      <rPr>
        <sz val="12"/>
        <rFont val="Calibri"/>
        <family val="2"/>
        <scheme val="minor"/>
      </rPr>
      <t xml:space="preserve"> looking at Cash from Investing Activities section, is this company in a growth, mature, or declining phase? Give most plausible answer and clearly explain your argumentation.</t>
    </r>
  </si>
  <si>
    <r>
      <t>7.3.</t>
    </r>
    <r>
      <rPr>
        <b/>
        <sz val="12"/>
        <color rgb="FFFF0000"/>
        <rFont val="Calibri"/>
        <family val="2"/>
        <scheme val="minor"/>
      </rPr>
      <t>ONLY</t>
    </r>
    <r>
      <rPr>
        <sz val="12"/>
        <rFont val="Calibri"/>
        <family val="2"/>
        <scheme val="minor"/>
      </rPr>
      <t xml:space="preserve"> looking at Cash from Financing section, is this company in a growth, mature, or declining phase? Give most plausible answer and clearly explain your argumentation.</t>
    </r>
  </si>
  <si>
    <r>
      <t xml:space="preserve">7.4 Looking at </t>
    </r>
    <r>
      <rPr>
        <b/>
        <sz val="12"/>
        <color rgb="FFFF0000"/>
        <rFont val="Calibri"/>
        <family val="2"/>
        <scheme val="minor"/>
      </rPr>
      <t>all three</t>
    </r>
    <r>
      <rPr>
        <sz val="12"/>
        <rFont val="Calibri"/>
        <family val="2"/>
        <scheme val="minor"/>
      </rPr>
      <t xml:space="preserve"> cash flow sections together, is this company in growth phase, mature phase, or declining phase? Clearly explain your answer.</t>
    </r>
  </si>
  <si>
    <r>
      <t xml:space="preserve">3.3 Name two possible </t>
    </r>
    <r>
      <rPr>
        <b/>
        <sz val="12"/>
        <color rgb="FFFF0000"/>
        <rFont val="Calibri"/>
        <family val="2"/>
        <scheme val="minor"/>
      </rPr>
      <t>specific</t>
    </r>
    <r>
      <rPr>
        <sz val="12"/>
        <color theme="1"/>
        <rFont val="Calibri"/>
        <family val="2"/>
        <scheme val="minor"/>
      </rPr>
      <t xml:space="preserve"> actions that would REVERSE the change in NOWC that you identified in your previous answer.</t>
    </r>
  </si>
  <si>
    <t>Question 3 - Points 8</t>
  </si>
  <si>
    <t>Annual revenue growth for yr 2 and 3</t>
  </si>
  <si>
    <t>Perpetual growth rate (g)(after year 3)</t>
  </si>
  <si>
    <t>Interest expense</t>
  </si>
  <si>
    <t>Question 3 - Points 12</t>
  </si>
  <si>
    <r>
      <t xml:space="preserve">Based on the table above and using the </t>
    </r>
    <r>
      <rPr>
        <b/>
        <sz val="12"/>
        <color theme="1"/>
        <rFont val="Calibri"/>
        <family val="2"/>
        <scheme val="minor"/>
      </rPr>
      <t>discounting method</t>
    </r>
    <r>
      <rPr>
        <sz val="11"/>
        <color theme="1"/>
        <rFont val="Calibri"/>
        <family val="2"/>
        <scheme val="minor"/>
      </rPr>
      <t xml:space="preserve">, calculate the maximum price one would be willing to pay for this company. Do not forget to include </t>
    </r>
    <r>
      <rPr>
        <b/>
        <sz val="12"/>
        <color theme="1"/>
        <rFont val="Calibri"/>
        <family val="2"/>
        <scheme val="minor"/>
      </rPr>
      <t>Terminal Value</t>
    </r>
    <r>
      <rPr>
        <sz val="11"/>
        <color theme="1"/>
        <rFont val="Calibri"/>
        <family val="2"/>
        <scheme val="minor"/>
      </rPr>
      <t xml:space="preserve"> in your calculation and clearly show every line item (Sales, EBITDA,.. etc) relevant to this valuation. Also clearly </t>
    </r>
    <r>
      <rPr>
        <b/>
        <sz val="12"/>
        <color theme="1"/>
        <rFont val="Calibri"/>
        <family val="2"/>
        <scheme val="minor"/>
      </rPr>
      <t>LABEL</t>
    </r>
    <r>
      <rPr>
        <sz val="11"/>
        <color theme="1"/>
        <rFont val="Calibri"/>
        <family val="2"/>
        <scheme val="minor"/>
      </rPr>
      <t xml:space="preserve"> your answers and indicate the </t>
    </r>
    <r>
      <rPr>
        <b/>
        <sz val="12"/>
        <color theme="1"/>
        <rFont val="Calibri"/>
        <family val="2"/>
        <scheme val="minor"/>
      </rPr>
      <t>MAX PRICE</t>
    </r>
    <r>
      <rPr>
        <sz val="11"/>
        <color theme="1"/>
        <rFont val="Calibri"/>
        <family val="2"/>
        <scheme val="minor"/>
      </rPr>
      <t xml:space="preserve"> your are willing to pay.</t>
    </r>
  </si>
  <si>
    <t xml:space="preserve">17. Based on the table above and using the discounting method based on FCFF, calculate the maximum price one would be willing to pay for this company. Do not forget to include Terminal Value in your calculation and clearly show every line item (Sales, EBITDA,.. etc) relevant to this valuation. Also clearly LABEL your answers and indicate the MAX PRICE your are willing to pay. </t>
  </si>
  <si>
    <t>Question 18</t>
  </si>
  <si>
    <t>Points</t>
  </si>
  <si>
    <t>Restaurant Pinocchio - Balance Sheet</t>
  </si>
  <si>
    <t>Common stock issued</t>
  </si>
  <si>
    <t>Additional Paid in capital</t>
  </si>
  <si>
    <t>Restaurant Pinocchio- Income Statement 2023</t>
  </si>
  <si>
    <t>Additional information:</t>
  </si>
  <si>
    <t>Restaurant Pinocchio is located in the business district of the city of Naples.</t>
  </si>
  <si>
    <t>The restaurant is well known for its exotic foods and beverages.</t>
  </si>
  <si>
    <t>30% of total revenues is on account.</t>
  </si>
  <si>
    <t xml:space="preserve">Question 3 - 12 points </t>
  </si>
  <si>
    <t>3.1 Calculate the CCC for 2023 (and use averages on the balance sheet items!). Show your calculations and label the relevant items clearly.</t>
  </si>
  <si>
    <t>3.2 If Pinocchio ordered EUR 25.000 in inventory financed by accounts payable for EUR 10.000 and a short term loan of EUR 15.000, by how much did the NOWC (Net Operating Working Capital) change?</t>
  </si>
  <si>
    <r>
      <rPr>
        <b/>
        <sz val="14"/>
        <color rgb="FFFF0000"/>
        <rFont val="Calibri"/>
        <family val="2"/>
        <scheme val="minor"/>
      </rPr>
      <t xml:space="preserve">Question 3 </t>
    </r>
    <r>
      <rPr>
        <b/>
        <sz val="14"/>
        <color theme="1"/>
        <rFont val="Calibri"/>
        <family val="2"/>
        <scheme val="minor"/>
      </rPr>
      <t>Financial Details</t>
    </r>
  </si>
  <si>
    <r>
      <t xml:space="preserve">3.3 Compared to 2022, the NOWC in 2023 worsened because it lead to a higher FINANCING need. Provide the 3 </t>
    </r>
    <r>
      <rPr>
        <b/>
        <sz val="12"/>
        <color theme="1"/>
        <rFont val="Calibri"/>
        <family val="2"/>
        <scheme val="minor"/>
      </rPr>
      <t>biggest reasons</t>
    </r>
    <r>
      <rPr>
        <sz val="12"/>
        <color theme="1"/>
        <rFont val="Calibri"/>
        <family val="2"/>
        <scheme val="minor"/>
      </rPr>
      <t xml:space="preserve">, using only data from the Pinocchio balance sheet.  </t>
    </r>
  </si>
  <si>
    <r>
      <t xml:space="preserve">3.4 If in 2023 the Accounts Collection Period went up by 10 days, by how much would the 2023 A/R </t>
    </r>
    <r>
      <rPr>
        <b/>
        <sz val="12"/>
        <color theme="1"/>
        <rFont val="Calibri"/>
        <family val="2"/>
        <scheme val="minor"/>
      </rPr>
      <t>CHANGE</t>
    </r>
    <r>
      <rPr>
        <sz val="12"/>
        <color theme="1"/>
        <rFont val="Calibri"/>
        <family val="2"/>
        <scheme val="minor"/>
      </rPr>
      <t>? (keep in mind that 30% of revenues is on account). Show calculation!</t>
    </r>
  </si>
  <si>
    <t>Company Jack Sparrow</t>
  </si>
  <si>
    <t>Kd</t>
  </si>
  <si>
    <t xml:space="preserve">4.2 CLEARLY explain why the DCF value is the maximum price one should be willing to pay. Your answer has to include the term NPV.  </t>
  </si>
  <si>
    <r>
      <t xml:space="preserve">4.1 Based on the table above and using the discounting method based on FCFF, calculate the maximum price one would be willing to pay for this company. </t>
    </r>
    <r>
      <rPr>
        <b/>
        <sz val="11"/>
        <color theme="1"/>
        <rFont val="Calibri"/>
        <family val="2"/>
        <scheme val="minor"/>
      </rPr>
      <t>So model 3 years</t>
    </r>
    <r>
      <rPr>
        <sz val="11"/>
        <color theme="1"/>
        <rFont val="Calibri"/>
        <family val="2"/>
        <scheme val="minor"/>
      </rPr>
      <t xml:space="preserve"> and </t>
    </r>
    <r>
      <rPr>
        <b/>
        <sz val="11"/>
        <color theme="1"/>
        <rFont val="Calibri"/>
        <family val="2"/>
        <scheme val="minor"/>
      </rPr>
      <t>do not forget to include Terminal Value</t>
    </r>
    <r>
      <rPr>
        <sz val="11"/>
        <color theme="1"/>
        <rFont val="Calibri"/>
        <family val="2"/>
        <scheme val="minor"/>
      </rPr>
      <t xml:space="preserve"> in your calculation and clearly show every line item (Revenues, EBITDA,.. etc) relevant to this valuation. Also clearly LABEL your answers and finally indicate the DCF result. </t>
    </r>
  </si>
  <si>
    <t>NPV in $</t>
  </si>
  <si>
    <t>Investment ($)</t>
  </si>
  <si>
    <r>
      <t>You are a consultant and you are meeting with an investor who asks your opinion on the  investment opportunities (see table above) she got offered. Not all the data are given (NA, not available) and it seems that each option has something going for it. The investor freshly graduated from Harvard and thus is very much focussed on achieving the</t>
    </r>
    <r>
      <rPr>
        <b/>
        <sz val="14"/>
        <color theme="1"/>
        <rFont val="Calibri"/>
        <family val="2"/>
        <scheme val="minor"/>
      </rPr>
      <t xml:space="preserve"> highest dollar returns corrected for risk</t>
    </r>
    <r>
      <rPr>
        <sz val="14"/>
        <color theme="1"/>
        <rFont val="Calibri"/>
        <family val="2"/>
        <scheme val="minor"/>
      </rPr>
      <t xml:space="preserve">. She now asks you to rank option A, B and C based on attractiveness to her. Explain (justify) for each option (so A, B, and C) the attractiveness to the investor and rank accordingly.    </t>
    </r>
  </si>
  <si>
    <t>The following questions are about the Hospitality sector and/or hospitality real estate.</t>
  </si>
  <si>
    <t xml:space="preserve">Crazy Vibes is a Hotel with a relatively large F&amp;B operations in Barcelona. The owner, Zavi, is very well tuned to the latest trends and thus often changes (completely refurbs) the hotel including the F&amp;B operations. Despite the costs and the hassle of refurbing quite often, the concept has proven to be very successful in creating value for its owner. So successful that the owner wants to expand this to similar cities accross the globe. </t>
  </si>
  <si>
    <t>6.1 Regarding his expansion plans, give the BEST reason for Zavi to go for owning both the operations AND the real estate. Explain your answer.</t>
  </si>
  <si>
    <t xml:space="preserve">6.2 Regarding his expansion plans, give the BEST reason for Zavi to ONLY go for owning only the operations (so the real estate will be owned by someone else). Explain your answer. </t>
  </si>
  <si>
    <t>6.3 An investor has approached Zavi with an offer to buy his Barcelona Crazy Vibes Hotel; he is willing to pay 25 times the rent income. What is the gross initial yield for the investor in this case?</t>
  </si>
  <si>
    <t>???</t>
  </si>
  <si>
    <t>OPTIONS FOR MISSING CASH FLOW FROM INVESTING:</t>
  </si>
  <si>
    <r>
      <rPr>
        <b/>
        <sz val="12"/>
        <color rgb="FFFF0000"/>
        <rFont val="Calibri"/>
        <family val="2"/>
        <scheme val="minor"/>
      </rPr>
      <t>Question 7</t>
    </r>
    <r>
      <rPr>
        <sz val="12"/>
        <rFont val="Calibri"/>
        <family val="2"/>
        <scheme val="minor"/>
      </rPr>
      <t xml:space="preserve"> Looking at the cash flow statement above, it is missing the Investing Cash Flow section (in grey). Please select either option A, B or C (see in pink) as being </t>
    </r>
    <r>
      <rPr>
        <b/>
        <sz val="12"/>
        <rFont val="Calibri"/>
        <family val="2"/>
        <scheme val="minor"/>
      </rPr>
      <t>the most logical</t>
    </r>
    <r>
      <rPr>
        <sz val="12"/>
        <rFont val="Calibri"/>
        <family val="2"/>
        <scheme val="minor"/>
      </rPr>
      <t xml:space="preserve"> fit. Give the most plausible answer and clearly explain your argumentation by referrring to the Operating and Financing sections of the cash flow statement that are given.</t>
    </r>
  </si>
  <si>
    <t>March</t>
  </si>
  <si>
    <t>April</t>
  </si>
  <si>
    <t>May</t>
  </si>
  <si>
    <t xml:space="preserve">Delay </t>
  </si>
  <si>
    <r>
      <t xml:space="preserve">Question 8: </t>
    </r>
    <r>
      <rPr>
        <b/>
        <sz val="11"/>
        <rFont val="Calibri"/>
        <family val="2"/>
        <scheme val="minor"/>
      </rPr>
      <t>Cash budgeting:</t>
    </r>
    <r>
      <rPr>
        <b/>
        <sz val="11"/>
        <color rgb="FFFF0000"/>
        <rFont val="Calibri"/>
        <family val="2"/>
        <scheme val="minor"/>
      </rPr>
      <t xml:space="preserve"> </t>
    </r>
    <r>
      <rPr>
        <b/>
        <sz val="11"/>
        <rFont val="Calibri"/>
        <family val="2"/>
        <scheme val="minor"/>
      </rPr>
      <t xml:space="preserve">Calculate total cash proceeds from sales in April and May. For all months, 30% of Revenues were in cash, the rest was on account.  </t>
    </r>
  </si>
  <si>
    <t xml:space="preserve">Cash </t>
  </si>
  <si>
    <t>accounts payable</t>
  </si>
  <si>
    <t>accounts receivable</t>
  </si>
  <si>
    <t>accrued expenses</t>
  </si>
  <si>
    <t>inventory</t>
  </si>
  <si>
    <t>corporate income tax payable</t>
  </si>
  <si>
    <t>pre-paid insurance</t>
  </si>
  <si>
    <t>short term portion of loan</t>
  </si>
  <si>
    <t>marketable securities</t>
  </si>
  <si>
    <t>dividends payable</t>
  </si>
  <si>
    <t>Total current assets</t>
  </si>
  <si>
    <t>total current liabilities</t>
  </si>
  <si>
    <t>equipment</t>
  </si>
  <si>
    <t>Long term loans</t>
  </si>
  <si>
    <t>accumulated depreciation equipment</t>
  </si>
  <si>
    <t>buildings</t>
  </si>
  <si>
    <t>Addtional paid in capital</t>
  </si>
  <si>
    <t>accumulated depreciation buildings</t>
  </si>
  <si>
    <t>retained earnings</t>
  </si>
  <si>
    <t>land</t>
  </si>
  <si>
    <t>total long term liabilities and equity</t>
  </si>
  <si>
    <t>total fixed assets</t>
  </si>
  <si>
    <t>TOTAL ASSETS</t>
  </si>
  <si>
    <t>TOTAL LIABILITIES AND EQUITY</t>
  </si>
  <si>
    <t>Income statement 2023</t>
  </si>
  <si>
    <t>Total revenue</t>
  </si>
  <si>
    <t>other operating expenses</t>
  </si>
  <si>
    <t>Depreciation equipment</t>
  </si>
  <si>
    <t>Depreciation buildings</t>
  </si>
  <si>
    <t>other fixed expenses</t>
  </si>
  <si>
    <t>Income Before tax</t>
  </si>
  <si>
    <t>Question 3  (16 points)</t>
  </si>
  <si>
    <t>3.1</t>
  </si>
  <si>
    <t>Calculate the Cash Conversion Cycle. Use averages for the balance sheet items. Show your calculations.</t>
  </si>
  <si>
    <t>3.2</t>
  </si>
  <si>
    <t>Calculate the Net Operating Working Capital on 31 December 2023.</t>
  </si>
  <si>
    <r>
      <t xml:space="preserve">Name one </t>
    </r>
    <r>
      <rPr>
        <b/>
        <sz val="14"/>
        <color rgb="FFFF0000"/>
        <rFont val="Calibri"/>
        <family val="2"/>
        <scheme val="minor"/>
      </rPr>
      <t>specific action</t>
    </r>
    <r>
      <rPr>
        <sz val="14"/>
        <color theme="1"/>
        <rFont val="Calibri"/>
        <family val="2"/>
        <scheme val="minor"/>
      </rPr>
      <t xml:space="preserve"> that would reduce the NOWC. Describe </t>
    </r>
    <r>
      <rPr>
        <b/>
        <sz val="14"/>
        <color rgb="FFFF0000"/>
        <rFont val="Calibri"/>
        <family val="2"/>
        <scheme val="minor"/>
      </rPr>
      <t>HOW</t>
    </r>
    <r>
      <rPr>
        <sz val="14"/>
        <color theme="1"/>
        <rFont val="Calibri"/>
        <family val="2"/>
        <scheme val="minor"/>
      </rPr>
      <t xml:space="preserve"> it would reduce NOWC.</t>
    </r>
  </si>
  <si>
    <t>Question 4  (20 points)</t>
  </si>
  <si>
    <t>Hotel XYZ has 200 rooms, a bar, a restaurant and 6 meeting rooms.</t>
  </si>
  <si>
    <t>Currently the hotel's occupancy is 78% and the ADR is 220 euro.</t>
  </si>
  <si>
    <t>Hotel XYZ is pondering whether or not to invest in a Spa and Wellness</t>
  </si>
  <si>
    <t>The GM calculates having the Spa and Wellness would increase total hotel revenue by 300.000 in year 1 and variable expenses would go up by 60.000</t>
  </si>
  <si>
    <t>Each subsequent year, the additional revenue would go up by 5% (so 315.000 in year 2 etc) and the additional variable expenses would also increase by 5% per year (so 63.000 in year 2 etc).</t>
  </si>
  <si>
    <t>The investment in the Spa &amp; Wellness requires 600.000. After the initial investment there are no further capital expenditures.</t>
  </si>
  <si>
    <t>After 5 years the Spa &amp; Wellness would either need to be closed or a full new investment will be required. After 5 years the Spa equipment will have  scrap value of 20.000.</t>
  </si>
  <si>
    <t>Because of the increase in room revenue and F&amp;B revenue, the NOWC will increase by 15.000 in year 1 and 3000 each year between years 2 and 8.</t>
  </si>
  <si>
    <t>For calculating the WACC, the hotel is financed with 60% debt and 40% equity. Kd is 6% and Ke is 12%.</t>
  </si>
  <si>
    <t>the income tax rate is 25%</t>
  </si>
  <si>
    <t>4.1</t>
  </si>
  <si>
    <t>Calculate the WACC of Hotel XYZ</t>
  </si>
  <si>
    <t>The financial manager decides that the WACC calculated for question 4.1 will not be used for discounting to calculate PV's. Instead, she decides a WACC of 7% is more appropriate. Use this WACC to answer the following question.</t>
  </si>
  <si>
    <t>4.2</t>
  </si>
  <si>
    <r>
      <t xml:space="preserve">Recommend whether the hotel should invest in the Spa &amp; Wellness, </t>
    </r>
    <r>
      <rPr>
        <b/>
        <sz val="14"/>
        <color rgb="FFFF0000"/>
        <rFont val="Calibri"/>
        <family val="2"/>
        <scheme val="minor"/>
      </rPr>
      <t>based on the value it adds</t>
    </r>
    <r>
      <rPr>
        <sz val="14"/>
        <color theme="1"/>
        <rFont val="Calibri"/>
        <family val="2"/>
        <scheme val="minor"/>
      </rPr>
      <t xml:space="preserve"> to the hotel. Show relevant calculations to support yourt recommendation.</t>
    </r>
  </si>
  <si>
    <t>The Hotel's financial manager is informed that next year the (corporate) income tax rate could be increased.</t>
  </si>
  <si>
    <t>His assistant, who recently graduated, tells him this makes any investment more attractive, as a higher tax rate reduces the WACC and thus increases NPV.</t>
  </si>
  <si>
    <t>4.3</t>
  </si>
  <si>
    <t>Conclude whether the reasoning of the assistant is correct. Support your answer with reasoning  or with calculations.</t>
  </si>
  <si>
    <t>Question 5  (12 points)</t>
  </si>
  <si>
    <t>Indirect Cash Flow Satement 2023</t>
  </si>
  <si>
    <t>adjustments</t>
  </si>
  <si>
    <t>depreciation</t>
  </si>
  <si>
    <t>change in operating assets and liabilities</t>
  </si>
  <si>
    <t xml:space="preserve">  AR</t>
  </si>
  <si>
    <t xml:space="preserve">  pre-paid insurance</t>
  </si>
  <si>
    <t xml:space="preserve">  Inventory</t>
  </si>
  <si>
    <t xml:space="preserve">  AP</t>
  </si>
  <si>
    <t xml:space="preserve">  Acrrued expenses</t>
  </si>
  <si>
    <t xml:space="preserve">  Corp tax payable</t>
  </si>
  <si>
    <t>CF from operating activities</t>
  </si>
  <si>
    <t>purchase marketable securities</t>
  </si>
  <si>
    <t>investments</t>
  </si>
  <si>
    <t>CF from investing activities</t>
  </si>
  <si>
    <t>payments for dividends</t>
  </si>
  <si>
    <t>issuance of debt</t>
  </si>
  <si>
    <t>repayments of debt</t>
  </si>
  <si>
    <t>CF from financing activites</t>
  </si>
  <si>
    <t>increase/decrease in cash</t>
  </si>
  <si>
    <t>5.1</t>
  </si>
  <si>
    <t>Explain how it is possible that the cash flow from operating activities is significantly higher than the Net Income of the hotel.</t>
  </si>
  <si>
    <t>5.2</t>
  </si>
  <si>
    <t>During the year, a significant investment was made in buildings (Real estate, 670.000)</t>
  </si>
  <si>
    <t xml:space="preserve">Which line item (name an item from the CF Statement or from the Balance Sheets) was most responsible for making cash available for paying for this investment? </t>
  </si>
  <si>
    <t>To support your answer, calculate what amount was contributed by this source of cash.</t>
  </si>
  <si>
    <t>5.3</t>
  </si>
  <si>
    <t>Calculate the increase/decrease in cash for the company and state whether the cash went up or down.</t>
  </si>
  <si>
    <t>Question 6  (8 points)</t>
  </si>
  <si>
    <t>Josephine has decided to start a new business, the first day of operations will be 1 March.</t>
  </si>
  <si>
    <t>She will supply sustainable packaging (bags, cups etc) to fastfood restaurants.</t>
  </si>
  <si>
    <t xml:space="preserve">Her customers will pay after 14 days. </t>
  </si>
  <si>
    <t>Assume sales are spread evenly through the month (same sales per day within each month)</t>
  </si>
  <si>
    <t>For the first 6 months of her business, she expects the following sales:</t>
  </si>
  <si>
    <t>MONTH</t>
  </si>
  <si>
    <t>August</t>
  </si>
  <si>
    <t>(days in month)</t>
  </si>
  <si>
    <t>sales</t>
  </si>
  <si>
    <t>6.1</t>
  </si>
  <si>
    <t>calculate the cash receipts for March, April and May</t>
  </si>
  <si>
    <t>Question 7  (8 points)</t>
  </si>
  <si>
    <t>Laura is the financial manager of a hospitality supplies company.</t>
  </si>
  <si>
    <t xml:space="preserve">She has two investment proposals (A and B) on her desk. </t>
  </si>
  <si>
    <t>They both seem attractive, but due to the amount of capital available, only one investment may be chosen.</t>
  </si>
  <si>
    <t>Laura has produced the graph to the right, which shows the NPV at different discount rates for each investment.</t>
  </si>
  <si>
    <t>She e-mails the graph to 2 colleagues (Claire and Robert), asking for their opinions. She receives the following replies:</t>
  </si>
  <si>
    <t>Claire:</t>
  </si>
  <si>
    <t>It seems that the NPV of project A is significantly higher than project B, I would opt for project A.</t>
  </si>
  <si>
    <t xml:space="preserve">Robert: </t>
  </si>
  <si>
    <t>Project B has the higher IRR, that project must be chosen.</t>
  </si>
  <si>
    <t>7.1</t>
  </si>
  <si>
    <t>Comment on both replies. Are the comments valid or not? Motivate your answer.</t>
  </si>
  <si>
    <t>Question 8  (6 points)</t>
  </si>
  <si>
    <t xml:space="preserve">Pension fund Memento has the option to buy a recently built hotel. </t>
  </si>
  <si>
    <t>Memento management thinks they can charge a lease of 3.800.000 euro per year for the building.</t>
  </si>
  <si>
    <t>The owners cost for the building are estimated at 280.000 per year.</t>
  </si>
  <si>
    <t>On any hotel investment, Memento requires a Net Initial Yield of at least 5,5%.</t>
  </si>
  <si>
    <t>8.1</t>
  </si>
  <si>
    <t>Calculate the maximum amount Memento is willing to pay for the hotel</t>
  </si>
  <si>
    <t>g</t>
  </si>
  <si>
    <t>EBITDA year 1</t>
  </si>
  <si>
    <t>EBITDA growth rate for each year up until year 3</t>
  </si>
  <si>
    <t>Interest expenses per year</t>
  </si>
  <si>
    <t>Depreciation per year</t>
  </si>
  <si>
    <t>Solvency TA/TL</t>
  </si>
  <si>
    <r>
      <t>1.1 Make a DCF valuation on this company. The company is expected to last forever. Model years 1, 2 and 3 and assume that the company's FCFFs grow by the g rate for ever after year 3, (in other words: do not forget to include the Terminal Value!). Indicate clearly what the maximum price is your are willing to pay!</t>
    </r>
    <r>
      <rPr>
        <b/>
        <sz val="11"/>
        <color rgb="FFFF0000"/>
        <rFont val="Calibri"/>
        <family val="2"/>
        <scheme val="minor"/>
      </rPr>
      <t xml:space="preserve"> </t>
    </r>
  </si>
  <si>
    <t>Question 1 - Points 26</t>
  </si>
  <si>
    <t>3.2 If a company has a lot of cash on the balance sheet, why do shareholders (in general) not like it? Explain your answer!</t>
  </si>
  <si>
    <t>3.3 In the table below, your CFO did a Dupont [(A/Eq)* (Rev/Assets) * (Net profit/Rev)] analysis on two companies (A and B). Both companies are from the same region, active in the same sector and are thus very comparable. Looking only at the content of the Dupont analysis, which company is performing better? Clearly explain why!</t>
  </si>
  <si>
    <t>4.1 The CFO of your company made the table below, with the inventory turnover, the payables deferral period, and the accounts collection turnover of your biggest competitor. Calculate the CCC (Cash Conversion Cycle) of this
competitor. Please show all three separate parts of the CCC and your final answer.</t>
  </si>
  <si>
    <t>Inventory Turnover</t>
  </si>
  <si>
    <t>Accounts Collection Turnover</t>
  </si>
  <si>
    <t>4.3 Name a specific ACTION to improve PDP and EXPLAIN why this has a positive effect on financing.</t>
  </si>
  <si>
    <t>4.4 Calculate NOWC</t>
  </si>
  <si>
    <t>A/R</t>
  </si>
  <si>
    <t>Pre Paid Insurance</t>
  </si>
  <si>
    <t>A/P</t>
  </si>
  <si>
    <t>Accrued Wages</t>
  </si>
  <si>
    <t>Short Term Loans</t>
  </si>
  <si>
    <t>Advanced Deposits</t>
  </si>
  <si>
    <t>4.5 If NOWC went down versus the previous year, is that a positive on financing or a negative? Explain your answer.</t>
  </si>
  <si>
    <t xml:space="preserve">Question 4 - 14 points </t>
  </si>
  <si>
    <t>Question 5 - Points 12</t>
  </si>
  <si>
    <t>5.1 Clearly explain what happened with Equipment for 2021 and 2022 (so clearly explain what happened with equipment in EACH year SEPARATELY.</t>
  </si>
  <si>
    <t>5.2 If you had to make an educated guess (with the limited information you have from the CFS) in what phase of the lifecycle this company is (growth, stable, or decline), what would it be? You have to comment on:
A) each of the three parts of the cash flow statement and
B) indicate for each part to which phase of the lifecycle it logically belongs!
C) After that, give your overall verdict (is the entire company in growth, stable or decline phase).</t>
  </si>
  <si>
    <t>Question 6 - Points 12</t>
  </si>
  <si>
    <t>6.1 In the table above there is a mistake. Find it and explain clearly why it is a mistake.</t>
  </si>
  <si>
    <t xml:space="preserve">
Assume that real estate investors apply the net initial yield (NIY) to value a building. If the NIY rises from 5% to 8%, what will happen to the value of a building that was valued at 10,000,000 dollars when the NIY was 5%? Assume that the rent received and expenses stay unchanged. Your answer will be in two parts:</t>
  </si>
  <si>
    <t>Calculate the new value of the building at a NIY of 8%.</t>
  </si>
  <si>
    <t>How will valuation change (up, down or unchanged). Explain why.</t>
  </si>
  <si>
    <t>Question 7  (14 points)</t>
  </si>
  <si>
    <t>4.2 If your company's CCC is lower than that of your competitor is that a good or bad thing (in general)? Explain your answer!</t>
  </si>
  <si>
    <r>
      <t xml:space="preserve">1.1 Company XYZ has excess cash of 95000 which it does not need in the foreseeable future. So it is considering putting the money into a 5-year fixed deposit, yielding 5% annually, compounded quarterly. What will the investment be worth at the end of year 5? </t>
    </r>
    <r>
      <rPr>
        <b/>
        <sz val="12"/>
        <color theme="1"/>
        <rFont val="Calibri"/>
        <family val="2"/>
        <scheme val="minor"/>
      </rPr>
      <t>Show your calculation.</t>
    </r>
  </si>
  <si>
    <r>
      <t xml:space="preserve">1.2 If the annual rate remains 5%, but the compounding frequency changes from 4 to 6 times per year, will the final outcome of XYZ's savings scheme be higher or lower than in q.1 ?  </t>
    </r>
    <r>
      <rPr>
        <b/>
        <sz val="12"/>
        <color theme="1"/>
        <rFont val="Calibri"/>
        <family val="2"/>
        <scheme val="minor"/>
      </rPr>
      <t>Explain why, without a calculation!</t>
    </r>
  </si>
  <si>
    <t>For XYZ's investment in a new project, the CFO has put forward three different combinations of debt and equity to the CEO. As you can see in the table, the cost of debt (demanded by creditors) is different in every option. And so is the return on equity, required by potential investors.</t>
  </si>
  <si>
    <t xml:space="preserve">7.1 Give your CEO a full and logical explanation of why this is the case. Your answer must cover both debt and equity (3 pts). </t>
  </si>
  <si>
    <r>
      <t xml:space="preserve">7.2 Then, give her a clear and logical advice on which option she should select for the financing of the new project and </t>
    </r>
    <r>
      <rPr>
        <b/>
        <sz val="12"/>
        <rFont val="Calibri"/>
        <family val="2"/>
        <scheme val="minor"/>
      </rPr>
      <t>support that advice with a calculation</t>
    </r>
    <r>
      <rPr>
        <sz val="12"/>
        <rFont val="Calibri"/>
        <family val="2"/>
        <scheme val="minor"/>
      </rPr>
      <t xml:space="preserve"> (4 pts).</t>
    </r>
  </si>
  <si>
    <t>7a Mr. Zeki Peki thus now owns 21 hotel buildings as well has the operations within his buildings. Give one reason in defense of Mr. Zeki Peki's decision to own both the real estate AND the operations. And explain why your reason is positive.
7b Mr. Zeki Peki thus now owns 21 hotel buildings as well has the operations within his buildings. Give one reason AGAINST Mr. Zeki Peki's decision to own both the real estate AND the operations. And explain why your reason is negative.</t>
  </si>
  <si>
    <t>CFS Year ending on 31st of December</t>
  </si>
  <si>
    <t>Dividends Paid</t>
  </si>
  <si>
    <t>Cash previous period</t>
  </si>
  <si>
    <t>New cash position</t>
  </si>
  <si>
    <t>5.1 Above you can find the cash flow statement (CFS) of Hotel Party Harty. Describe and explain what happened to Accounts Payable (A/P) on the balance sheet in 2023 compared to 2022, and why it shows up the way it did in the cash flow statement in 2023.</t>
  </si>
  <si>
    <t>5.2 If you had to make an educated guess with the limited information provided, is Hotel Part Harty in its growth, mature, or declining phase?
Go for the most obvious option (do not assume exceptional circumstances or story lines; remember you have limited information and you are asked what is most logical in GENERAL).
Assume inflation was only 1,5% in each of the years. Clearly explain per section of the CFS (Operating, Investing, and Financing) to what phase you think it belongs and why. Then finanalise by giving your overall verdict on the entire CFS</t>
  </si>
  <si>
    <t>Amsterdam</t>
  </si>
  <si>
    <t>Breda</t>
  </si>
  <si>
    <t>Haarlem</t>
  </si>
  <si>
    <t>Relevant Cash flow per year</t>
  </si>
  <si>
    <t>6a In the table above you can see the relevant cash flows for three projects (Amsterdam, Breda and Haarlem). Calculate the payback for Haarlem.</t>
  </si>
  <si>
    <t>6b Using the above graph, choose which project is the most value creating. The actual risk (WACC) of the projects is as follows:
-Amsterdam 12,5%
-Breda 7,5%
-Haarlem 22,5%
Explain your choice, by also showing the value created.</t>
  </si>
  <si>
    <t xml:space="preserve"> ABC management need to draw up a cash budget for a rooftop restaurant that will be operated in the  summer months of 2022. The necessary information is in the table above.                                                                                                                                                                                                                                                                                   
2.1  Calculate the amounts in the grey cells (so cash collected from credit card payments in July and August, as well as total cash from sales in August)   (4 pts)                                                                                                                                                                                                                                                                                             
2.2  If the budget shows an excess of cash at the end of August  and the company is expecting difficult operating conditions in the rest of the year, what would you advise to do with that excess cash? (3 pts)                                                                                                                                                                                                                                                                                                                                                                	
You may assume 30 days for all three months      		</t>
  </si>
  <si>
    <t>3.1 If TA/TL is 3, how much of the assets is financed by Equity? Explain your answer!</t>
  </si>
  <si>
    <t>6.1 If the risk of project C would increase, while its operational results (and thus FCFF) stay unchanged, what will happen to the valuation of project C? Clearly explain your answer.</t>
  </si>
  <si>
    <t>Revenue growth rate for each year up until year 4</t>
  </si>
  <si>
    <t>ROE</t>
  </si>
  <si>
    <t>EBITDA margin</t>
  </si>
  <si>
    <t>1.2 What happens to the NPV if one pays more than the DCF value? Clearly explain your answer if this is a good or bad thing.</t>
  </si>
  <si>
    <r>
      <t>1.1 Make a DCF valuation on this company. The company is expected to last forever. Model years 1, 2, 3 and 4  (Revenues have already been claculated for your convenience) and assume that the company's FCFFs grow by the g rate for ever after year 4, (in other words: do not forget to include the Terminal Value!). Indicate clearly what the DCF value is.</t>
    </r>
    <r>
      <rPr>
        <b/>
        <sz val="11"/>
        <color rgb="FFFF0000"/>
        <rFont val="Calibri"/>
        <family val="2"/>
        <scheme val="minor"/>
      </rPr>
      <t xml:space="preserve"> </t>
    </r>
  </si>
  <si>
    <t>Inventory Holding Period</t>
  </si>
  <si>
    <t>Accounts Receivables Turnover</t>
  </si>
  <si>
    <t>Payables Turnover</t>
  </si>
  <si>
    <t>4.1 Using the data below in the table, calculate the CCC (cash conversion cycle). SHOW EACH of the three components of the CCC calculation. Show answers with two decimals.</t>
  </si>
  <si>
    <t>4.2 If this company would decide to pay its suppliers later than usual (without hurting its business), would NOWC (net operating working capital) go up or down? Clearly explain your answer.</t>
  </si>
  <si>
    <t>4.3 If an increase in inventory is financed by a short term loan, how will NOWC (net operating working capital) and NWC (net working capital) be affected? For each, clearly explain if there is a change, and if so, if it is up or down.</t>
  </si>
  <si>
    <t>5.1 Above you can find the cash flow statement (CFS) of Sunrise Hotel Resorts; a company that owns many hotels at the Spanish Coast. Describe and explain what happened to Accounts Receivables (A/R) on the balance sheet in 2023 compared to 2022, and why it shows up the way it did in the cash flow statement in 2023.</t>
  </si>
  <si>
    <t>5.2 Above you can see the cash flow statement (CFS) of Sunrise Hotel Resorts for the last 3 years.
Assume inflation was only 1,5% in each of the years. 
Clearly explain per section of the CFS (Operating, Investing, and Financing) to what phase (growth, mature or decline phase) you think it belongs and why. Then finanalise by giving your overall verdict on the entire CFS (so you need to give 4 verdicts in total!)
Remember, you are making an educated guess with the limited information provided. Go for the most obvious option (what is most logical in GENERAL).</t>
  </si>
  <si>
    <t>5.3 Looking at the CFS of Sunrise Hotel Resorts and the trends therein, do you think Sunrise NEEDS to attract new financing? Clearly explain your answer.</t>
  </si>
  <si>
    <t>D</t>
  </si>
  <si>
    <t>6.1 In the table above you can see the 4 projects (A, B, C, and D). As you can see, the data is not complete.
Only looking at project A and B, which project would you prefer? Clearly explain your answer. (only one choice allowed!)</t>
  </si>
  <si>
    <t>6.2 As you know, in layman's terms, the NPV = Pv of Benefits - Pv of Costs.
From the table above, will the present value (Pv) of the Benefits of project D be higher or lower than 200.000? Clearly explain your answer!</t>
  </si>
  <si>
    <t>6.3 Using the table above, will the PI for project D be above or below 1? Clearly explain your answer!</t>
  </si>
  <si>
    <t>7a Office real estate is often valued fixed return per square meter. Clearly explain why, in general, the valuation of Hotel real estate is different in this respect.
7b Accor Hotels used to own the real estate AND the hotel operations. A while ago, Accor management decided to sell the real estate and focus on operating hotels. Can you give 2 good reasons to do so? Clearly explain your answer.
7c What happens to the value of existing real estate if the demanded GIY (gross initial yield) in the real estate market goes from 5% to 6%? Do valuations go up or down? Please clearly explain your answer (assume rents are unchanged).
7d If an investor, demanding a GIY of 12.5% in real estate, bought a building for EUR 10 million, how much is the yearly rent income on this property?</t>
  </si>
  <si>
    <r>
      <rPr>
        <b/>
        <sz val="12"/>
        <color rgb="FF000000"/>
        <rFont val="Calibri"/>
        <family val="2"/>
      </rPr>
      <t xml:space="preserve">  </t>
    </r>
    <r>
      <rPr>
        <sz val="11"/>
        <color rgb="FF000000"/>
        <rFont val="Calibri"/>
        <family val="2"/>
      </rPr>
      <t xml:space="preserve">     						
5.1 How much Net Working Capital does ABC have at the end of 2020? (2 pts)    	                                                                                                                                                                                                                                                                                                                                                                                                                       
5.2 If ABC's Net Working Capital changes from - € 6000 to + € 8000, what is the resulting </t>
    </r>
    <r>
      <rPr>
        <b/>
        <sz val="12"/>
        <color rgb="FF000000"/>
        <rFont val="Calibri"/>
        <family val="2"/>
      </rPr>
      <t>additional</t>
    </r>
    <r>
      <rPr>
        <sz val="11"/>
        <color rgb="FF000000"/>
        <rFont val="Calibri"/>
        <family val="2"/>
      </rPr>
      <t xml:space="preserve"> funding requirement? (2 pts)	</t>
    </r>
  </si>
  <si>
    <t>Current Part Long Term Debt</t>
  </si>
  <si>
    <r>
      <t xml:space="preserve"> </t>
    </r>
    <r>
      <rPr>
        <sz val="12"/>
        <color rgb="FF000000"/>
        <rFont val="Calibri"/>
        <family val="2"/>
      </rPr>
      <t>Look at the company's financial statements and asnwer the folowing questions</t>
    </r>
    <r>
      <rPr>
        <sz val="12"/>
        <color rgb="FFFF0000"/>
        <rFont val="Calibri"/>
        <family val="2"/>
      </rPr>
      <t xml:space="preserve"> (</t>
    </r>
    <r>
      <rPr>
        <b/>
        <sz val="12"/>
        <color rgb="FFFF0000"/>
        <rFont val="Calibri"/>
        <family val="2"/>
      </rPr>
      <t>10 pts</t>
    </r>
    <r>
      <rPr>
        <sz val="12"/>
        <color rgb="FFFF0000"/>
        <rFont val="Calibri"/>
        <family val="2"/>
      </rPr>
      <t>)</t>
    </r>
  </si>
  <si>
    <r>
      <rPr>
        <sz val="12"/>
        <color rgb="FF000000"/>
        <rFont val="Calibri"/>
        <family val="2"/>
      </rPr>
      <t xml:space="preserve">     
2.1 </t>
    </r>
    <r>
      <rPr>
        <b/>
        <sz val="12"/>
        <color rgb="FFFF0000"/>
        <rFont val="Calibri"/>
        <family val="2"/>
      </rPr>
      <t>Table 2 (above)</t>
    </r>
    <r>
      <rPr>
        <sz val="12"/>
        <color rgb="FF000000"/>
        <rFont val="Calibri"/>
        <family val="2"/>
      </rPr>
      <t xml:space="preserve"> shows 3 different financing options for the same asset structure. Determine which of the 3 financing structures reflects the aggressive, which the  moderate and which the conservative policy.  </t>
    </r>
    <r>
      <rPr>
        <b/>
        <sz val="12"/>
        <color rgb="FF000000"/>
        <rFont val="Calibri"/>
        <family val="2"/>
      </rPr>
      <t xml:space="preserve">(3 pts)
2.2 Assume the IHP for the company </t>
    </r>
    <r>
      <rPr>
        <b/>
        <sz val="12"/>
        <color rgb="FFFF0000"/>
        <rFont val="Calibri"/>
        <family val="2"/>
      </rPr>
      <t xml:space="preserve">(table 2) </t>
    </r>
    <r>
      <rPr>
        <b/>
        <sz val="12"/>
        <color rgb="FF000000"/>
        <rFont val="Calibri"/>
        <family val="2"/>
      </rPr>
      <t xml:space="preserve">is 20 days. Calculate the Operating Cycle (not the Cash Conversion Cycle (CCC)) for option C. Note that the current assets </t>
    </r>
    <r>
      <rPr>
        <b/>
        <u/>
        <sz val="12"/>
        <color rgb="FF000000"/>
        <rFont val="Calibri"/>
        <family val="2"/>
      </rPr>
      <t>only</t>
    </r>
    <r>
      <rPr>
        <b/>
        <sz val="12"/>
        <color rgb="FF000000"/>
        <rFont val="Calibri"/>
        <family val="2"/>
      </rPr>
      <t xml:space="preserve"> include 2 accounts: Accounts Receivable and Inventories. (4 pts)</t>
    </r>
  </si>
  <si>
    <t xml:space="preserve">PDP -^ negotiating for longer payment terms with suppliers, </t>
  </si>
  <si>
    <t>IHP using JIT inv management</t>
  </si>
  <si>
    <t>Asking for only cash payments</t>
  </si>
  <si>
    <t>3a If the current ratio (CA/CL) went up to 4 versus a score of 3 last year, are shareholders in GENERAL happy or unhappy about this development? Clearly explain why.
3b From a bankruptcy risk perspective, are bankers happy or unhappy about the solvency ratio's (TA/TL) development if it goes from 2 to a score of 3? Clearly explain why.
3c Based on the below table, calculate the (Total Assets)/(Total Equity).
Answer with 2 decimals.
3d What was the profit margin in 2023?
3e If interest expenses were not 10 but 20, how much would the net income be in that case?</t>
  </si>
  <si>
    <t>The following questions are about financial ratios. Please do explain your answers clearly.
3a In general, what would management prefer, an operational efficiency ratio of 45% or 47%?
3b A consultant calculated the (EBITDA/ interest expenses) ratio to be 4. What does this ratio tell you? Clearly explain the reason this ratio is used for!
3c Based on the below table, calculate the quick ratio (aka acid test ratio) of Alpha Inc. Show answer with 2 decimals
3d If the EBITDA margin in 2022 was 35%, did the operational performance of Alpha Inc improve in 2023 or not? Explain why (provide numerical proof).</t>
  </si>
  <si>
    <t>Also name another group that will in general not be happy. Motivate both answers.</t>
  </si>
  <si>
    <t>Name one group of stakeholders that will in general be happy with the change in solvency ratio you calculated in question 2.3</t>
  </si>
  <si>
    <t>2.5</t>
  </si>
  <si>
    <t>Name the main cause for the change in solvency ratio between 1 January and 31 December 2023. Explain your reasoning and use the relevant quantitative data (i.e. numbers) to support of your reasoning.</t>
  </si>
  <si>
    <t>2.4</t>
  </si>
  <si>
    <t>Calculate the solvency ratio for 1 January and 31 December 2023</t>
  </si>
  <si>
    <t>2.3</t>
  </si>
  <si>
    <t>Given the financial information above, name one specific option for raising the cash required for the dividends payment.</t>
  </si>
  <si>
    <t>2.2</t>
  </si>
  <si>
    <t>As a matter of principle, the financial manager does not want to borrow money for paying dividends.</t>
  </si>
  <si>
    <t>The financial manager of the hotel needs to pay the dividends  3 weeks after 31 December 2023. He realizes he does currently not have sufficient cash for this.</t>
  </si>
  <si>
    <t>Calculate the income tax rate</t>
  </si>
  <si>
    <t>2.1</t>
  </si>
  <si>
    <t>Hotel Fidel has the following Balance sheets and Income Statement for the year 2023</t>
  </si>
  <si>
    <t>Question 2  (22 points)</t>
  </si>
  <si>
    <r>
      <t xml:space="preserve">2.3 Calculate Hotel Milei 's </t>
    </r>
    <r>
      <rPr>
        <b/>
        <sz val="12"/>
        <color theme="1"/>
        <rFont val="Calibri"/>
        <family val="2"/>
        <scheme val="minor"/>
      </rPr>
      <t xml:space="preserve">ROE for </t>
    </r>
    <r>
      <rPr>
        <sz val="12"/>
        <color theme="1"/>
        <rFont val="Calibri"/>
        <family val="2"/>
        <scheme val="minor"/>
      </rPr>
      <t xml:space="preserve">for 2023 using the Dupont formula (profit margin x asset turnover x TA/Equity) (do not use averages on the balance sheet items, so use 2023 numbers only). </t>
    </r>
  </si>
  <si>
    <r>
      <t xml:space="preserve">2.2 What is the reason why Hotel Milei's </t>
    </r>
    <r>
      <rPr>
        <b/>
        <sz val="12"/>
        <rFont val="Calibri"/>
        <family val="2"/>
        <scheme val="minor"/>
      </rPr>
      <t xml:space="preserve">cash </t>
    </r>
    <r>
      <rPr>
        <sz val="12"/>
        <rFont val="Calibri"/>
        <family val="2"/>
        <scheme val="minor"/>
      </rPr>
      <t>went down so much? Provide one reason (the most important one!).</t>
    </r>
  </si>
  <si>
    <r>
      <t>2.1</t>
    </r>
    <r>
      <rPr>
        <b/>
        <sz val="12"/>
        <rFont val="Calibri"/>
        <family val="2"/>
        <scheme val="minor"/>
      </rPr>
      <t xml:space="preserve"> Current ratio:</t>
    </r>
    <r>
      <rPr>
        <sz val="12"/>
        <rFont val="Calibri"/>
        <family val="2"/>
        <scheme val="minor"/>
      </rPr>
      <t xml:space="preserve"> calculate AND comment on the DEVELOPMENT (so this year compared to last year)  from the perspective of a supplier (for example a company like Sligro/Hanos/Makro; so part of accounts payables). Indicate if a supplier of Hotel Milei would be happy or not and explain why! Show calculations with 2 decimals!</t>
    </r>
  </si>
  <si>
    <r>
      <t xml:space="preserve">From the financial statements above, </t>
    </r>
    <r>
      <rPr>
        <b/>
        <sz val="12"/>
        <color rgb="FFFF0000"/>
        <rFont val="Calibri"/>
        <family val="2"/>
        <scheme val="minor"/>
      </rPr>
      <t>calculate</t>
    </r>
    <r>
      <rPr>
        <b/>
        <sz val="12"/>
        <rFont val="Calibri"/>
        <family val="2"/>
        <scheme val="minor"/>
      </rPr>
      <t xml:space="preserve"> AND </t>
    </r>
    <r>
      <rPr>
        <b/>
        <sz val="12"/>
        <color rgb="FFFF0000"/>
        <rFont val="Calibri"/>
        <family val="2"/>
        <scheme val="minor"/>
      </rPr>
      <t>comment</t>
    </r>
    <r>
      <rPr>
        <b/>
        <sz val="12"/>
        <rFont val="Calibri"/>
        <family val="2"/>
        <scheme val="minor"/>
      </rPr>
      <t xml:space="preserve"> on</t>
    </r>
    <r>
      <rPr>
        <sz val="12"/>
        <rFont val="Calibri"/>
        <family val="2"/>
        <scheme val="minor"/>
      </rPr>
      <t xml:space="preserve"> the </t>
    </r>
    <r>
      <rPr>
        <b/>
        <sz val="12"/>
        <rFont val="Calibri"/>
        <family val="2"/>
        <scheme val="minor"/>
      </rPr>
      <t>DEVELOPMENT (so this year compared to last year)</t>
    </r>
    <r>
      <rPr>
        <sz val="12"/>
        <rFont val="Calibri"/>
        <family val="2"/>
        <scheme val="minor"/>
      </rPr>
      <t xml:space="preserve"> of the following ratios from the perspective of a supplier (for example a company like Sligro/Hanos/Makro; so part of accounts payables). Indicate if a supplier to Hotel Milei would be happy or not and explain why! </t>
    </r>
    <r>
      <rPr>
        <b/>
        <sz val="12"/>
        <rFont val="Calibri"/>
        <family val="2"/>
        <scheme val="minor"/>
      </rPr>
      <t>Show calculations with 2 decimals!</t>
    </r>
  </si>
  <si>
    <t>Hotel Milei - From Income Statement for the year ended on 31 December 2022 and 2023</t>
  </si>
  <si>
    <t>Hotel Milei - Balance Sheet for the years 2022 and 2023 ending December 31st</t>
  </si>
  <si>
    <r>
      <rPr>
        <b/>
        <sz val="12"/>
        <color rgb="FFFF0000"/>
        <rFont val="Calibri"/>
        <family val="2"/>
        <scheme val="minor"/>
      </rPr>
      <t>Question 2</t>
    </r>
    <r>
      <rPr>
        <b/>
        <sz val="12"/>
        <color theme="1"/>
        <rFont val="Calibri"/>
        <family val="2"/>
        <scheme val="minor"/>
      </rPr>
      <t>: Balance Sheet</t>
    </r>
  </si>
  <si>
    <t>2.2 The solvency ratio</t>
  </si>
  <si>
    <t>2.1 Quick ratio</t>
  </si>
  <si>
    <r>
      <t xml:space="preserve">From the financial statements above, </t>
    </r>
    <r>
      <rPr>
        <b/>
        <sz val="18"/>
        <color rgb="FFFF0000"/>
        <rFont val="Calibri"/>
        <family val="2"/>
        <scheme val="minor"/>
      </rPr>
      <t>calculate</t>
    </r>
    <r>
      <rPr>
        <b/>
        <sz val="18"/>
        <rFont val="Calibri"/>
        <family val="2"/>
        <scheme val="minor"/>
      </rPr>
      <t xml:space="preserve"> AND </t>
    </r>
    <r>
      <rPr>
        <b/>
        <sz val="18"/>
        <color rgb="FFFF0000"/>
        <rFont val="Calibri"/>
        <family val="2"/>
        <scheme val="minor"/>
      </rPr>
      <t>comment</t>
    </r>
    <r>
      <rPr>
        <b/>
        <sz val="18"/>
        <rFont val="Calibri"/>
        <family val="2"/>
        <scheme val="minor"/>
      </rPr>
      <t xml:space="preserve"> on</t>
    </r>
    <r>
      <rPr>
        <sz val="18"/>
        <rFont val="Calibri"/>
        <family val="2"/>
        <scheme val="minor"/>
      </rPr>
      <t xml:space="preserve"> the </t>
    </r>
    <r>
      <rPr>
        <b/>
        <sz val="18"/>
        <rFont val="Calibri"/>
        <family val="2"/>
        <scheme val="minor"/>
      </rPr>
      <t>DEVELOPMENT (so this year compared to last year)</t>
    </r>
    <r>
      <rPr>
        <sz val="18"/>
        <rFont val="Calibri"/>
        <family val="2"/>
        <scheme val="minor"/>
      </rPr>
      <t xml:space="preserve"> of the following ratio's from the perspective of </t>
    </r>
    <r>
      <rPr>
        <b/>
        <sz val="18"/>
        <rFont val="Calibri"/>
        <family val="2"/>
        <scheme val="minor"/>
      </rPr>
      <t>SHAREHOLDERS</t>
    </r>
    <r>
      <rPr>
        <sz val="18"/>
        <rFont val="Calibri"/>
        <family val="2"/>
        <scheme val="minor"/>
      </rPr>
      <t>:</t>
    </r>
  </si>
  <si>
    <t>Question 2</t>
  </si>
  <si>
    <t>Income Statement for the year ended on 31 December 2021 and 2022</t>
  </si>
  <si>
    <t>Hotel Keynes- Result form Income Statement</t>
  </si>
  <si>
    <t>Balance Sheet for the years 2021 and 2022 ending in december 31st</t>
  </si>
  <si>
    <t>Hotel Keynes - Balance Sheet</t>
  </si>
  <si>
    <r>
      <rPr>
        <b/>
        <sz val="18"/>
        <color rgb="FFFF0000"/>
        <rFont val="Calibri"/>
        <family val="2"/>
        <scheme val="minor"/>
      </rPr>
      <t xml:space="preserve">Question 2 </t>
    </r>
    <r>
      <rPr>
        <b/>
        <sz val="18"/>
        <color theme="1"/>
        <rFont val="Calibri"/>
        <family val="2"/>
        <scheme val="minor"/>
      </rPr>
      <t>Financial Details</t>
    </r>
  </si>
  <si>
    <t>12.3 Your CFO also prefers to look at EBITDA MARGIN instead of net income MARGIN when he tries to establish if a business is well run. Provide one reason with explanation why he is right to do so.</t>
  </si>
  <si>
    <t>12.2 The CFO's ratio was 0,25 last year and now it is 0,30. Explain one relevant consequence of this DEVELOPMENT in relationship to risk.</t>
  </si>
  <si>
    <t xml:space="preserve">12.1 What type of ratio did your CFO make? In other words, to which of the 5 categories of ratios does this one belong? </t>
  </si>
  <si>
    <t>Your CFO decided to use a ratio of his own making: Equity/Assets.</t>
  </si>
  <si>
    <t>Question 12 - Points 6</t>
  </si>
  <si>
    <t>You became the new General Manager (GM) of Hotel Eden in Argentina in January 2017. Now, in 2023, you want to show that you have done a much better job the last 6 years than your predecessor. Explain why you would use a base year comparision instead of a normal horizontal one. AND what year will you choose as the base year AND explain why?</t>
  </si>
  <si>
    <t>Question 11 - Points 4</t>
  </si>
  <si>
    <t>1.2 What does the Acid Test ratio tell us and who outside of our company will be most interested in this ratio. Justify your answer</t>
  </si>
  <si>
    <t>1.1 Please calculate the Acid Test Ratio (quick ratio) for Mirage in 2022</t>
  </si>
  <si>
    <r>
      <t xml:space="preserve">Your boss is thinking of acquiring a competitor named The Rude Hotel &amp; Restaurant. Above you can see a common size analysis on the asset side of its balance sheet. Name </t>
    </r>
    <r>
      <rPr>
        <b/>
        <sz val="12"/>
        <color theme="1"/>
        <rFont val="Calibri"/>
        <family val="2"/>
        <scheme val="minor"/>
      </rPr>
      <t>one</t>
    </r>
    <r>
      <rPr>
        <sz val="12"/>
        <color theme="1"/>
        <rFont val="Calibri"/>
        <family val="2"/>
        <scheme val="minor"/>
      </rPr>
      <t xml:space="preserve"> </t>
    </r>
    <r>
      <rPr>
        <b/>
        <sz val="12"/>
        <color theme="1"/>
        <rFont val="Calibri"/>
        <family val="2"/>
        <scheme val="minor"/>
      </rPr>
      <t>development</t>
    </r>
    <r>
      <rPr>
        <sz val="12"/>
        <color theme="1"/>
        <rFont val="Calibri"/>
        <family val="2"/>
        <scheme val="minor"/>
      </rPr>
      <t xml:space="preserve"> that is a possible cause for concern </t>
    </r>
    <r>
      <rPr>
        <b/>
        <sz val="12"/>
        <color theme="1"/>
        <rFont val="Calibri"/>
        <family val="2"/>
        <scheme val="minor"/>
      </rPr>
      <t>AND</t>
    </r>
    <r>
      <rPr>
        <sz val="12"/>
        <color theme="1"/>
        <rFont val="Calibri"/>
        <family val="2"/>
        <scheme val="minor"/>
      </rPr>
      <t xml:space="preserve"> </t>
    </r>
    <r>
      <rPr>
        <b/>
        <sz val="12"/>
        <color theme="1"/>
        <rFont val="Calibri"/>
        <family val="2"/>
        <scheme val="minor"/>
      </rPr>
      <t>one</t>
    </r>
    <r>
      <rPr>
        <sz val="12"/>
        <color theme="1"/>
        <rFont val="Calibri"/>
        <family val="2"/>
        <scheme val="minor"/>
      </rPr>
      <t xml:space="preserve"> </t>
    </r>
    <r>
      <rPr>
        <b/>
        <sz val="12"/>
        <color theme="1"/>
        <rFont val="Calibri"/>
        <family val="2"/>
        <scheme val="minor"/>
      </rPr>
      <t>development</t>
    </r>
    <r>
      <rPr>
        <sz val="12"/>
        <color theme="1"/>
        <rFont val="Calibri"/>
        <family val="2"/>
        <scheme val="minor"/>
      </rPr>
      <t xml:space="preserve"> that is positive. Clearly EXPLAIN/MOTIVATE your answer. (4 pts)</t>
    </r>
  </si>
  <si>
    <t>Other current assets</t>
  </si>
  <si>
    <r>
      <t xml:space="preserve">Hotel &amp; Wellness Tax Haven, aptly named due to the high taxes it needs to pay, is looking for extra capital. The bank manager is thinking about giving Hotel &amp; Wellness Tax Haven a bank loan, but she is hesitating. You work for the Hotel and it is your job to convince the bank manager by showing her the </t>
    </r>
    <r>
      <rPr>
        <b/>
        <sz val="12"/>
        <color theme="1"/>
        <rFont val="Calibri"/>
        <family val="2"/>
        <scheme val="minor"/>
      </rPr>
      <t>DEVELOPMENT</t>
    </r>
    <r>
      <rPr>
        <sz val="12"/>
        <color theme="1"/>
        <rFont val="Calibri"/>
        <family val="2"/>
        <scheme val="minor"/>
      </rPr>
      <t xml:space="preserve"> (</t>
    </r>
    <r>
      <rPr>
        <b/>
        <sz val="12"/>
        <color theme="1"/>
        <rFont val="Calibri"/>
        <family val="2"/>
        <scheme val="minor"/>
      </rPr>
      <t>using numerical evidence)</t>
    </r>
    <r>
      <rPr>
        <sz val="12"/>
        <color theme="1"/>
        <rFont val="Calibri"/>
        <family val="2"/>
        <scheme val="minor"/>
      </rPr>
      <t xml:space="preserve"> of </t>
    </r>
    <r>
      <rPr>
        <b/>
        <sz val="12"/>
        <color theme="1"/>
        <rFont val="Calibri"/>
        <family val="2"/>
        <scheme val="minor"/>
      </rPr>
      <t>TWO</t>
    </r>
    <r>
      <rPr>
        <sz val="12"/>
        <color theme="1"/>
        <rFont val="Calibri"/>
        <family val="2"/>
        <scheme val="minor"/>
      </rPr>
      <t xml:space="preserve"> ratio's that are </t>
    </r>
    <r>
      <rPr>
        <b/>
        <sz val="12"/>
        <color theme="1"/>
        <rFont val="Calibri"/>
        <family val="2"/>
        <scheme val="minor"/>
      </rPr>
      <t>MOST RELEVANT</t>
    </r>
    <r>
      <rPr>
        <sz val="12"/>
        <color theme="1"/>
        <rFont val="Calibri"/>
        <family val="2"/>
        <scheme val="minor"/>
      </rPr>
      <t xml:space="preserve"> to a banker. Make sure that each ratio you use is from a seperate ratio category (remember, there are 5 ratio categories, so you are going to use ratio's from 2 categories). If the development is not shown, and/or the ratio's you use are not from the 2 ratio categories that are most relevant to the banker, no points will be awarded. You can base your calculations on the financial statements presented at the top of the exam. (8 pts)</t>
    </r>
  </si>
  <si>
    <t>The Current Portion of the Long Term Debt of 2022 is also what got reclassified during the year</t>
  </si>
  <si>
    <t>No buildings were bought, but some got sold on 31st of Dec 2022</t>
  </si>
  <si>
    <t>No equipment was bought or sold</t>
  </si>
  <si>
    <t>Additional Information</t>
  </si>
  <si>
    <t xml:space="preserve">Total </t>
  </si>
  <si>
    <t>Total non current Assets</t>
  </si>
  <si>
    <t>Hotel &amp; Wellness Tax Haven</t>
  </si>
  <si>
    <r>
      <rPr>
        <b/>
        <sz val="12"/>
        <color rgb="FF000000"/>
        <rFont val="Calibri"/>
        <family val="2"/>
        <scheme val="minor"/>
      </rPr>
      <t xml:space="preserve">Q 1: </t>
    </r>
    <r>
      <rPr>
        <sz val="12"/>
        <color rgb="FF000000"/>
        <rFont val="Calibri"/>
        <family val="2"/>
        <scheme val="minor"/>
      </rPr>
      <t xml:space="preserve">        Based on the table 1 please calculate the available rooms per day of Hotel ALFA (2 points)</t>
    </r>
  </si>
  <si>
    <t>Paid Occupancy %</t>
  </si>
  <si>
    <t>Monthly rooms sold</t>
  </si>
  <si>
    <t>Sleeper nights</t>
  </si>
  <si>
    <t>Days open in January</t>
  </si>
  <si>
    <t>Table 1 Hotel ALFA</t>
  </si>
  <si>
    <r>
      <t xml:space="preserve"> q 2 Give your view (happy or unhappy?) on this development (the change from 2020 to 2021), from the point of a creditor </t>
    </r>
    <r>
      <rPr>
        <b/>
        <u/>
        <sz val="12"/>
        <color rgb="FF000000"/>
        <rFont val="Calibri"/>
        <family val="2"/>
      </rPr>
      <t>and</t>
    </r>
    <r>
      <rPr>
        <b/>
        <sz val="12"/>
        <color rgb="FF000000"/>
        <rFont val="Calibri"/>
        <family val="2"/>
      </rPr>
      <t xml:space="preserve"> from the point of a view of a shareholder.</t>
    </r>
  </si>
  <si>
    <r>
      <t xml:space="preserve"> q 1 Based on relevant numbers in these financial statements, calculate a financial leverage ratio of the hotel in 2020 </t>
    </r>
    <r>
      <rPr>
        <b/>
        <u/>
        <sz val="12"/>
        <color rgb="FF000000"/>
        <rFont val="Calibri"/>
        <family val="2"/>
      </rPr>
      <t>and</t>
    </r>
    <r>
      <rPr>
        <b/>
        <sz val="12"/>
        <color rgb="FF000000"/>
        <rFont val="Calibri"/>
        <family val="2"/>
      </rPr>
      <t xml:space="preserve"> 2021.</t>
    </r>
  </si>
  <si>
    <t>6 461 600</t>
  </si>
  <si>
    <t>6 715 000</t>
  </si>
  <si>
    <t xml:space="preserve"> Total Liabilities &amp; Equity </t>
  </si>
  <si>
    <t xml:space="preserve"> 889 600</t>
  </si>
  <si>
    <t>1 322 000</t>
  </si>
  <si>
    <t xml:space="preserve"> Retained Earnings </t>
  </si>
  <si>
    <t xml:space="preserve"> 100 000</t>
  </si>
  <si>
    <t xml:space="preserve"> Paid in capital </t>
  </si>
  <si>
    <t>4 500 000</t>
  </si>
  <si>
    <t xml:space="preserve"> Common Stock </t>
  </si>
  <si>
    <t xml:space="preserve"> 650 000</t>
  </si>
  <si>
    <t xml:space="preserve"> 540 000</t>
  </si>
  <si>
    <t xml:space="preserve"> Long term Loan </t>
  </si>
  <si>
    <t xml:space="preserve"> 150 000</t>
  </si>
  <si>
    <t xml:space="preserve"> 120 000</t>
  </si>
  <si>
    <t xml:space="preserve"> Current part LT debt </t>
  </si>
  <si>
    <t xml:space="preserve"> 40 000</t>
  </si>
  <si>
    <t xml:space="preserve"> 30 000</t>
  </si>
  <si>
    <t xml:space="preserve"> Dividends Payable </t>
  </si>
  <si>
    <t xml:space="preserve"> 12 000</t>
  </si>
  <si>
    <t xml:space="preserve"> 13 000</t>
  </si>
  <si>
    <t xml:space="preserve"> Accrued payroll </t>
  </si>
  <si>
    <t xml:space="preserve"> 90 000</t>
  </si>
  <si>
    <t xml:space="preserve"> Accounts Payable </t>
  </si>
  <si>
    <t xml:space="preserve"> Total Assets </t>
  </si>
  <si>
    <t>- 210 000</t>
  </si>
  <si>
    <t>- 200 000</t>
  </si>
  <si>
    <t xml:space="preserve"> Acc depr Equipment &amp; Furniture </t>
  </si>
  <si>
    <t xml:space="preserve"> 410 000</t>
  </si>
  <si>
    <t xml:space="preserve"> 600 000</t>
  </si>
  <si>
    <t xml:space="preserve"> Equip &amp; Furniture </t>
  </si>
  <si>
    <t>-1 450 000</t>
  </si>
  <si>
    <t>-1 000 000</t>
  </si>
  <si>
    <t xml:space="preserve"> Acc Depr Buildings </t>
  </si>
  <si>
    <t>2 000 000</t>
  </si>
  <si>
    <t xml:space="preserve"> Buildings </t>
  </si>
  <si>
    <t>5 200 000</t>
  </si>
  <si>
    <t>5 000 000</t>
  </si>
  <si>
    <t xml:space="preserve"> Land </t>
  </si>
  <si>
    <t xml:space="preserve"> 25 000</t>
  </si>
  <si>
    <t xml:space="preserve"> 20 000</t>
  </si>
  <si>
    <t xml:space="preserve"> Prepaid expense </t>
  </si>
  <si>
    <t xml:space="preserve"> Food Inventory </t>
  </si>
  <si>
    <t xml:space="preserve"> 170 000</t>
  </si>
  <si>
    <t xml:space="preserve"> 155 000</t>
  </si>
  <si>
    <t xml:space="preserve"> Accounts Receivable </t>
  </si>
  <si>
    <t xml:space="preserve"> 10 000</t>
  </si>
  <si>
    <t xml:space="preserve"> Marketable securities </t>
  </si>
  <si>
    <t xml:space="preserve"> 294 600</t>
  </si>
  <si>
    <t xml:space="preserve"> Cash </t>
  </si>
  <si>
    <t>OpEf%</t>
  </si>
  <si>
    <t>net income %</t>
  </si>
  <si>
    <r>
      <rPr>
        <b/>
        <sz val="12"/>
        <color rgb="FF000000"/>
        <rFont val="Calibri"/>
        <family val="2"/>
      </rPr>
      <t xml:space="preserve">
</t>
    </r>
    <r>
      <rPr>
        <sz val="12"/>
        <color rgb="FF000000"/>
        <rFont val="Calibri"/>
        <family val="2"/>
      </rPr>
      <t xml:space="preserve">
For 2020, ABC's Operating Efficiency Ratio was 67%
3.1 Over the years, the Operating Efficiency Ratio trend may differ from the trend in Net Income (NI). Give an exact description (with an example) of how and why the Operating Efficiency trend can differ from the NI trend (4 pts)                                                                                                                              </t>
    </r>
  </si>
  <si>
    <r>
      <rPr>
        <sz val="12"/>
        <color rgb="FF000000"/>
        <rFont val="Calibri"/>
        <family val="2"/>
      </rPr>
      <t xml:space="preserve">
</t>
    </r>
    <r>
      <rPr>
        <b/>
        <sz val="12"/>
        <color rgb="FF000000"/>
        <rFont val="Calibri"/>
        <family val="2"/>
      </rPr>
      <t xml:space="preserve">    </t>
    </r>
    <r>
      <rPr>
        <sz val="12"/>
        <color rgb="FF000000"/>
        <rFont val="Calibri"/>
        <family val="2"/>
      </rPr>
      <t xml:space="preserve">     
2.1 Explain in what situation, a base year comparision makes MOST sense to use.  </t>
    </r>
    <r>
      <rPr>
        <b/>
        <sz val="12"/>
        <color rgb="FF000000"/>
        <rFont val="Calibri"/>
        <family val="2"/>
      </rPr>
      <t xml:space="preserve">(1 pt)
</t>
    </r>
    <r>
      <rPr>
        <sz val="12"/>
        <color rgb="FF000000"/>
        <rFont val="Calibri"/>
        <family val="2"/>
      </rPr>
      <t xml:space="preserve">2.2 Explain in what situation a vertical analysis makes most sense to use. </t>
    </r>
    <r>
      <rPr>
        <b/>
        <sz val="12"/>
        <color rgb="FF000000"/>
        <rFont val="Calibri"/>
        <family val="2"/>
      </rPr>
      <t xml:space="preserve">(1 pt) 
</t>
    </r>
    <r>
      <rPr>
        <sz val="12"/>
        <color rgb="FF000000"/>
        <rFont val="Calibri"/>
        <family val="2"/>
      </rPr>
      <t>2.3 Explain why with a horizontal analysis it is better to show the year-on-year changes in absolute amounts AND in percentages instead of only in absolute amounts or only in percentages. (</t>
    </r>
    <r>
      <rPr>
        <b/>
        <sz val="12"/>
        <color rgb="FF000000"/>
        <rFont val="Calibri"/>
        <family val="2"/>
      </rPr>
      <t>1 pt</t>
    </r>
    <r>
      <rPr>
        <sz val="12"/>
        <color rgb="FF000000"/>
        <rFont val="Calibri"/>
        <family val="2"/>
      </rPr>
      <t xml:space="preserve">) 
</t>
    </r>
  </si>
  <si>
    <r>
      <rPr>
        <sz val="12"/>
        <color rgb="FF000000"/>
        <rFont val="Calibri"/>
        <family val="2"/>
      </rPr>
      <t xml:space="preserve">
1.1 Explain for each of the three ratio's in table 1 if the development was good or not. Do this from the perspective of the sharholder. </t>
    </r>
    <r>
      <rPr>
        <b/>
        <sz val="12"/>
        <color rgb="FF000000"/>
        <rFont val="Calibri"/>
        <family val="2"/>
      </rPr>
      <t xml:space="preserve">(3 Pts)
</t>
    </r>
    <r>
      <rPr>
        <sz val="12"/>
        <color rgb="FF000000"/>
        <rFont val="Calibri"/>
        <family val="2"/>
      </rPr>
      <t xml:space="preserve">
1.2 When comparing the current ratio of hospitality companies A and B, does it matter if company B's book year starts on 1st of May while company A's start on 1st of January? </t>
    </r>
    <r>
      <rPr>
        <b/>
        <sz val="12"/>
        <color rgb="FF000000"/>
        <rFont val="Calibri"/>
        <family val="2"/>
      </rPr>
      <t>Explain</t>
    </r>
    <r>
      <rPr>
        <sz val="12"/>
        <color rgb="FF000000"/>
        <rFont val="Calibri"/>
        <family val="2"/>
      </rPr>
      <t xml:space="preserve"> your answer. </t>
    </r>
    <r>
      <rPr>
        <b/>
        <sz val="12"/>
        <color rgb="FF000000"/>
        <rFont val="Calibri"/>
        <family val="2"/>
      </rPr>
      <t>(3 pts)</t>
    </r>
  </si>
  <si>
    <t>Operating efficiency ratio</t>
  </si>
  <si>
    <t>Debt/equity</t>
  </si>
  <si>
    <r>
      <rPr>
        <sz val="12"/>
        <color rgb="FF000000"/>
        <rFont val="Calibri"/>
        <family val="2"/>
      </rPr>
      <t xml:space="preserve"> Marriott published </t>
    </r>
    <r>
      <rPr>
        <b/>
        <sz val="12"/>
        <color rgb="FFFF0000"/>
        <rFont val="Calibri"/>
        <family val="2"/>
      </rPr>
      <t>table 6 (above)</t>
    </r>
    <r>
      <rPr>
        <sz val="12"/>
        <color rgb="FF000000"/>
        <rFont val="Calibri"/>
        <family val="2"/>
      </rPr>
      <t xml:space="preserve"> as part of its annual report for shareholders. 
Explain how you interpret the increasing trend in debt to equity fom 2016 to 2019 </t>
    </r>
    <r>
      <rPr>
        <b/>
        <sz val="12"/>
        <color rgb="FF000000"/>
        <rFont val="Calibri"/>
        <family val="2"/>
      </rPr>
      <t xml:space="preserve">(2 pts)
</t>
    </r>
    <r>
      <rPr>
        <sz val="12"/>
        <color rgb="FF000000"/>
        <rFont val="Calibri"/>
        <family val="2"/>
      </rPr>
      <t xml:space="preserve">and explain if you as a shareholder would be pleased (why, or why not) with this trend ? </t>
    </r>
    <r>
      <rPr>
        <b/>
        <sz val="12"/>
        <color rgb="FF000000"/>
        <rFont val="Calibri"/>
        <family val="2"/>
      </rPr>
      <t>(3 pts)</t>
    </r>
    <r>
      <rPr>
        <sz val="12"/>
        <color rgb="FF000000"/>
        <rFont val="Calibri"/>
        <family val="2"/>
      </rPr>
      <t xml:space="preserve">						
Do not answer by just yes or no.				</t>
    </r>
  </si>
  <si>
    <t>2. Perform a horizontal analysis of the current assets and identify the 2 accounts that change most (2).</t>
  </si>
  <si>
    <t>1. Perform a vertical analysis of the company's current assets in 2021 and identify the 2 largest accounts (2).</t>
  </si>
  <si>
    <t>COS/VC</t>
  </si>
  <si>
    <r>
      <t>●</t>
    </r>
    <r>
      <rPr>
        <sz val="12"/>
        <color rgb="FF000000"/>
        <rFont val="Raleway Medium"/>
      </rPr>
      <t>Can you explain the distinction between systematic and unsystematic risk? Why is this a useful distinction?</t>
    </r>
  </si>
  <si>
    <r>
      <t>●</t>
    </r>
    <r>
      <rPr>
        <sz val="12"/>
        <color rgb="FF000000"/>
        <rFont val="Raleway Medium"/>
      </rPr>
      <t>Can you explain why shareholders run more risk than creditors and link it to Ke and Kd?</t>
    </r>
  </si>
  <si>
    <r>
      <t>●</t>
    </r>
    <r>
      <rPr>
        <sz val="12"/>
        <color rgb="FF000000"/>
        <rFont val="Raleway Medium"/>
      </rPr>
      <t>Can you explain Time Value of money’s link to (Lu5) to risk?</t>
    </r>
  </si>
  <si>
    <r>
      <t>●</t>
    </r>
    <r>
      <rPr>
        <sz val="12"/>
        <color rgb="FF000000"/>
        <rFont val="Raleway Medium"/>
      </rPr>
      <t>Why do companies split out total risk in many different (sub-)types of risks?</t>
    </r>
  </si>
  <si>
    <r>
      <t>●</t>
    </r>
    <r>
      <rPr>
        <sz val="12"/>
        <color rgb="FF000000"/>
        <rFont val="Raleway Medium"/>
      </rPr>
      <t xml:space="preserve">Can you explain why a high risk project is not necessarily bad? </t>
    </r>
  </si>
  <si>
    <r>
      <t>●</t>
    </r>
    <r>
      <rPr>
        <sz val="12"/>
        <color rgb="FF000000"/>
        <rFont val="Raleway Medium"/>
      </rPr>
      <t>Do you know the difference between profit and value?</t>
    </r>
  </si>
  <si>
    <t>,]</t>
  </si>
  <si>
    <r>
      <t>●</t>
    </r>
    <r>
      <rPr>
        <sz val="12"/>
        <color rgb="FF000000"/>
        <rFont val="Raleway Medium"/>
      </rPr>
      <t>Do you know why risk is so important in finance?</t>
    </r>
  </si>
  <si>
    <t>2.3 The director of Hotel Transylvania got an investment proposal from her private banker. The idea is to invest 1mln of equity in a mummification company. The director will own all the shares, while a bank will lend the mummification company 1 mln (so total balance sheet size is 2 mln, 1 mln equity and 1 mln in debt). The bank is demanding 12% interest rate on the debt it will provide. Should the director of Hotel Transylvania demand more, less or the same 12% return on her equity investment? Clearly explain your choice.</t>
  </si>
  <si>
    <t>2.2 Clearly explain why it would be unfair to fire the manager responsible for managing risk for the occurrence of a systematic risk. (in simple terms, a systematic risk materialized and the risk manager gets blamed that this happened).</t>
  </si>
  <si>
    <t>2.1 Which balance sheet composition makes most sense in a long (multiple years) economic recession? 
1) convert the company's long term debt into short term debt, or
2) convert the company's short term debt into long term debt.
Explain CLEARLY which option makes most sense given the multi year economic downturn (recession).</t>
  </si>
  <si>
    <t>Several years ago MEWS Inc was a startup company selling Hospitality software. In the beginning, the company had a pretty high interest rate on the debt that was provided to them. Now, years later, the company has been very successful and it is looking to expand globally. Therefore, the company wants to borrow more money from the bank and issue equity (financial leverage will stay the same as before).
2a Explain if MEWS will be quoted a lower, higher or same interest rate on this debt by the bank compared to the initial debt. Clearly explain why and only base your answer on the information given in this question!
2b MEWS's success depends for the most part on two items: 1) good economic conditions, and 2) that their software is functioning properly. Describe for both items if it is a systematic or unsystematic risk and explain why.
2c As MEWS is expecting to be very successful going forward, which of the two balance sheets below would make the most sense from the perspective of the MEWS shareholders. Clearly explain why.</t>
  </si>
  <si>
    <t>A company expects an economic downturn (recession) that will affect it and its competitors negatively for a long time (for 4 years or more). The company cannot alter the equity position on the balance sheet, but it can change the composition of its debt.
1. With that in mind, should the company change all its debt into short term debt, or into long term debt? Clearly explain your answer.</t>
  </si>
  <si>
    <t>7.3  Explain the risks and benefits of high financial leverage in general (2)</t>
  </si>
  <si>
    <r>
      <t>7.2  Assume the average TA/TE ratio for this industry is 2. Is the financial leverage for this company higher or lower than this benchmark.</t>
    </r>
    <r>
      <rPr>
        <b/>
        <sz val="12"/>
        <color theme="1"/>
        <rFont val="Calibri"/>
        <family val="2"/>
        <scheme val="minor"/>
      </rPr>
      <t xml:space="preserve"> Show the calculation (2).  </t>
    </r>
  </si>
  <si>
    <t>7.1  Using a Dupont analysis (so using Financial Leverage and Return on Assets), calculate the Return on Equity for 2022. Use year-end figures. (4)</t>
  </si>
  <si>
    <r>
      <t xml:space="preserve">
</t>
    </r>
    <r>
      <rPr>
        <b/>
        <sz val="12"/>
        <color theme="1"/>
        <rFont val="Calibri"/>
        <family val="2"/>
        <scheme val="minor"/>
      </rPr>
      <t xml:space="preserve"> Question 7 (8 pts)   </t>
    </r>
    <r>
      <rPr>
        <sz val="11"/>
        <color theme="1"/>
        <rFont val="Calibri"/>
        <family val="2"/>
        <scheme val="minor"/>
      </rPr>
      <t xml:space="preserve">
					</t>
    </r>
  </si>
  <si>
    <t>Loss on sale of Equipment</t>
  </si>
  <si>
    <t>Income statement 2022</t>
  </si>
  <si>
    <t xml:space="preserve"> Balance Sheet</t>
  </si>
  <si>
    <t>What is the impact of financial leverage on the ROE?  Illustrate the answer with your calculations.</t>
  </si>
  <si>
    <t xml:space="preserve">Calculate the ROE using the DUPONT formula. </t>
  </si>
  <si>
    <t>State whether the equity providers (shareholders) will logically be in favor or against the loan offer of the bank. Motivate why they will be in favor or against the bank financing.</t>
  </si>
  <si>
    <t>1.2</t>
  </si>
  <si>
    <t xml:space="preserve">Now John has spoken to a bank that is willing to provide a loan of 200.000 euro for the scaling up of production. The interest rate charged by the bank is significantly lower than the return demanded by the equity providors. </t>
  </si>
  <si>
    <t>Before building the prototype machine, John could not get a bank loan.</t>
  </si>
  <si>
    <r>
      <t xml:space="preserve">State whether the offer made by the investors is fair and logical. </t>
    </r>
    <r>
      <rPr>
        <b/>
        <sz val="14"/>
        <color rgb="FFFF0000"/>
        <rFont val="Calibri"/>
        <family val="2"/>
        <scheme val="minor"/>
      </rPr>
      <t xml:space="preserve">Motivate </t>
    </r>
    <r>
      <rPr>
        <sz val="14"/>
        <color theme="1"/>
        <rFont val="Calibri"/>
        <family val="2"/>
        <scheme val="minor"/>
      </rPr>
      <t>your answer.</t>
    </r>
  </si>
  <si>
    <t>1.1</t>
  </si>
  <si>
    <t>The investors are again willing to invest, and again they demand a return of 50%. The investors think this is reasonable, because they say "it is still the same project".</t>
  </si>
  <si>
    <t xml:space="preserve">Now John needs 500.000 euro to scale up production of the machines. </t>
  </si>
  <si>
    <t>With the 50.000 euros, John has the machine built, and finds out it works very well.</t>
  </si>
  <si>
    <t>The investors agree that IF the machine works, John's forecast is realistic. They will invest, but their demanded return is 50%.</t>
  </si>
  <si>
    <t xml:space="preserve">He pitches his idea to some investors. His presentation includes a forecast of potential sales and profits. </t>
  </si>
  <si>
    <t>He first needs to build a prototype, to check whether it really works. This will cost 50.000 euro, but John only has 10.000 himself. For the remaining 40.000 he needs outside financing.</t>
  </si>
  <si>
    <t>John has a brilliant idea. He thinks he can build a machine that automatically makes up beds in hotel rooms, thus reducing the housekeeping time spent per occupied room by 40%.</t>
  </si>
  <si>
    <t>Question 1  (8 points)</t>
  </si>
  <si>
    <t>1.2  Explain clearly if risk is always a bad thing (so explain why or why not that is the case).</t>
  </si>
  <si>
    <t xml:space="preserve">1.1 From a risk perspective, explain why, in general (!), a long term loan has a higher interest rate than a short term loan.  </t>
  </si>
  <si>
    <t xml:space="preserve">Explain why risk is an essential part of finance AND how it is used in making investment decisions. (max 70 words) </t>
  </si>
  <si>
    <t>Question 2 - Points 2</t>
  </si>
  <si>
    <t>debt compared to the equity is higher, equity compared to your debt is lower</t>
  </si>
  <si>
    <t>net income / equity</t>
  </si>
  <si>
    <r>
      <t>1. Explain clearly why financial leverage in most cases increases ROE (so, explain how it can work in the shareholders' favour and show a calculation). (</t>
    </r>
    <r>
      <rPr>
        <b/>
        <sz val="12"/>
        <color theme="1"/>
        <rFont val="Calibri"/>
        <family val="2"/>
        <scheme val="minor"/>
      </rPr>
      <t>3 pts</t>
    </r>
    <r>
      <rPr>
        <sz val="12"/>
        <color theme="1"/>
        <rFont val="Calibri"/>
        <family val="2"/>
        <scheme val="minor"/>
      </rPr>
      <t>)
2. If financial leverage is preferred  by shareholders, why does not every company have 99 euro of debt versus only 1 euro of equity on the balance sheet? In other words, why is an extremely high financial leverage not common? Clearly explain your answer (just because ... is higher is not enough). (</t>
    </r>
    <r>
      <rPr>
        <b/>
        <sz val="12"/>
        <color theme="1"/>
        <rFont val="Calibri"/>
        <family val="2"/>
        <scheme val="minor"/>
      </rPr>
      <t>3 pts</t>
    </r>
    <r>
      <rPr>
        <sz val="12"/>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</si>
</sst>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 &quot;€&quot;\ * #,##0.00_ ;_ &quot;€&quot;\ * \-#,##0.00_ ;_ &quot;€&quot;\ * &quot;-&quot;??_ ;_ @_ "/>
    <numFmt numFmtId="43" formatCode="_ * #,##0.00_ ;_ * \-#,##0.00_ ;_ * &quot;-&quot;??_ ;_ @_ "/>
    <numFmt numFmtId="164" formatCode="_(* #,##0.00_);_(* \(#,##0.00\);_(* &quot;-&quot;??_);_(@_)"/>
    <numFmt numFmtId="165" formatCode="_-&quot;£&quot;* #,##0.00_-;\-&quot;£&quot;* #,##0.00_-;_-&quot;£&quot;* &quot;-&quot;??_-;_-@_-"/>
    <numFmt numFmtId="166" formatCode="_-* #,##0.00_-;\-* #,##0.00_-;_-* &quot;-&quot;??_-;_-@_-"/>
    <numFmt numFmtId="167" formatCode="_ * #,##0_ ;_ * \-#,##0_ ;_ * &quot;-&quot;??_ ;_ @_ "/>
    <numFmt numFmtId="168" formatCode="###\ ###\ ###"/>
    <numFmt numFmtId="169" formatCode="_(* #,##0_);_(* \(#,##0\);_(* &quot;-&quot;??_);_(@_)"/>
    <numFmt numFmtId="170" formatCode="_-[$$-409]* #,##0_ ;_-[$$-409]* \-#,##0\ ;_-[$$-409]* &quot;-&quot;??_ ;_-@_ "/>
    <numFmt numFmtId="171" formatCode="###\ ###\ ###\ "/>
    <numFmt numFmtId="172" formatCode="0.0%"/>
    <numFmt numFmtId="173" formatCode="###\ ###\ ###;\(###\ ###\ ###\)"/>
    <numFmt numFmtId="174" formatCode="###,###,###;\(###,###,###\)"/>
    <numFmt numFmtId="175" formatCode="#,##0_ ;[Red]\-#,##0\ "/>
    <numFmt numFmtId="176" formatCode="&quot;€&quot;\ #,##0"/>
    <numFmt numFmtId="177" formatCode="_(* #,##0.000_);_(* \(#,##0.000\);_(* &quot;-&quot;??_);_(@_)"/>
    <numFmt numFmtId="178" formatCode="&quot; &quot;#,##0&quot; &quot;;&quot; -&quot;#,##0&quot; &quot;;&quot; -&quot;00&quot; &quot;;&quot; &quot;@&quot; &quot;"/>
    <numFmt numFmtId="179" formatCode="_-* #,##0_-;\-* #,##0_-;_-* &quot;-&quot;??_-;_-@_-"/>
    <numFmt numFmtId="180" formatCode="_-* #,##0.0_-;\-* #,##0.0_-;_-* &quot;-&quot;??_-;_-@_-"/>
    <numFmt numFmtId="181" formatCode="_ &quot;€&quot;\ * #,##0_ ;_ &quot;€&quot;\ * \-#,##0_ ;_ &quot;€&quot;\ * &quot;-&quot;??_ ;_ @_ "/>
    <numFmt numFmtId="188" formatCode="#,##0.00000000"/>
  </numFmts>
  <fonts count="9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sz val="12"/>
      <color rgb="FF303133"/>
      <name val="Arial"/>
      <family val="2"/>
    </font>
    <font>
      <sz val="11"/>
      <color rgb="FF303133"/>
      <name val="Arial"/>
      <family val="2"/>
    </font>
    <font>
      <b/>
      <sz val="11"/>
      <color rgb="FF303133"/>
      <name val="Arial"/>
      <family val="2"/>
    </font>
    <font>
      <sz val="9"/>
      <color theme="1"/>
      <name val="Calibri"/>
      <family val="2"/>
      <scheme val="minor"/>
    </font>
    <font>
      <sz val="12"/>
      <color rgb="FF000000"/>
      <name val="Calibri"/>
      <family val="2"/>
      <scheme val="minor"/>
    </font>
    <font>
      <b/>
      <sz val="12"/>
      <color rgb="FF000000"/>
      <name val="Calibri"/>
      <family val="2"/>
      <scheme val="minor"/>
    </font>
    <font>
      <b/>
      <sz val="18"/>
      <color theme="1"/>
      <name val="Calibri"/>
      <family val="2"/>
      <scheme val="minor"/>
    </font>
    <font>
      <b/>
      <sz val="12"/>
      <color rgb="FF000000"/>
      <name val="Calibri"/>
      <family val="2"/>
    </font>
    <font>
      <b/>
      <sz val="16"/>
      <color rgb="FFFF0000"/>
      <name val="Calibri"/>
      <family val="2"/>
      <scheme val="minor"/>
    </font>
    <font>
      <b/>
      <sz val="16"/>
      <color theme="1"/>
      <name val="Calibri"/>
      <family val="2"/>
      <scheme val="minor"/>
    </font>
    <font>
      <b/>
      <sz val="10"/>
      <color theme="1"/>
      <name val="Calibri"/>
      <family val="2"/>
      <scheme val="minor"/>
    </font>
    <font>
      <sz val="12"/>
      <color rgb="FF000000"/>
      <name val="Calibri"/>
      <family val="2"/>
    </font>
    <font>
      <u/>
      <sz val="11"/>
      <color theme="10"/>
      <name val="Calibri"/>
      <family val="2"/>
      <scheme val="minor"/>
    </font>
    <font>
      <sz val="12"/>
      <color rgb="FFFF0000"/>
      <name val="Calibri"/>
      <family val="2"/>
      <scheme val="minor"/>
    </font>
    <font>
      <sz val="12"/>
      <name val="Calibri"/>
      <family val="2"/>
      <scheme val="minor"/>
    </font>
    <font>
      <b/>
      <sz val="11"/>
      <color rgb="FFFF0000"/>
      <name val="Calibri"/>
      <family val="2"/>
      <scheme val="minor"/>
    </font>
    <font>
      <b/>
      <sz val="11"/>
      <color rgb="FF000000"/>
      <name val="Calibri"/>
      <family val="2"/>
      <scheme val="minor"/>
    </font>
    <font>
      <b/>
      <sz val="12"/>
      <name val="Calibri"/>
      <family val="2"/>
      <scheme val="minor"/>
    </font>
    <font>
      <sz val="12"/>
      <color rgb="FFF44336"/>
      <name val="Calibri"/>
      <family val="2"/>
      <scheme val="minor"/>
    </font>
    <font>
      <i/>
      <sz val="12"/>
      <color theme="1"/>
      <name val="Calibri"/>
      <family val="2"/>
      <scheme val="minor"/>
    </font>
    <font>
      <i/>
      <sz val="12"/>
      <color rgb="FF000000"/>
      <name val="Calibri"/>
      <family val="2"/>
      <scheme val="minor"/>
    </font>
    <font>
      <b/>
      <sz val="12"/>
      <color rgb="FFF44336"/>
      <name val="Calibri"/>
      <family val="2"/>
      <scheme val="minor"/>
    </font>
    <font>
      <b/>
      <i/>
      <sz val="12"/>
      <color theme="1"/>
      <name val="Calibri"/>
      <family val="2"/>
      <scheme val="minor"/>
    </font>
    <font>
      <sz val="11"/>
      <color theme="1"/>
      <name val="Calibri"/>
      <family val="2"/>
    </font>
    <font>
      <u/>
      <sz val="12"/>
      <color theme="1"/>
      <name val="Calibri"/>
      <family val="2"/>
      <scheme val="minor"/>
    </font>
    <font>
      <b/>
      <u/>
      <sz val="12"/>
      <color theme="1"/>
      <name val="Calibri"/>
      <family val="2"/>
      <scheme val="minor"/>
    </font>
    <font>
      <sz val="11"/>
      <color theme="0"/>
      <name val="Calibri"/>
      <family val="2"/>
      <scheme val="minor"/>
    </font>
    <font>
      <sz val="11"/>
      <color rgb="FFFF0000"/>
      <name val="Calibri"/>
      <family val="2"/>
      <scheme val="minor"/>
    </font>
    <font>
      <sz val="11"/>
      <color rgb="FFFFFFFF"/>
      <name val="Calibri"/>
      <family val="2"/>
      <scheme val="minor"/>
    </font>
    <font>
      <sz val="12"/>
      <color rgb="FF000000"/>
      <name val="Calibri"/>
      <family val="2"/>
    </font>
    <font>
      <b/>
      <sz val="14"/>
      <color rgb="FF000000"/>
      <name val="Calibri"/>
      <family val="2"/>
    </font>
    <font>
      <b/>
      <u/>
      <sz val="12"/>
      <color rgb="FF000000"/>
      <name val="Calibri"/>
      <family val="2"/>
    </font>
    <font>
      <b/>
      <sz val="14"/>
      <name val="Calibri"/>
      <family val="2"/>
    </font>
    <font>
      <b/>
      <sz val="16"/>
      <name val="Calibri"/>
      <family val="2"/>
      <scheme val="minor"/>
    </font>
    <font>
      <b/>
      <u/>
      <sz val="12"/>
      <color rgb="FF000000"/>
      <name val="Calibri"/>
      <family val="2"/>
      <scheme val="minor"/>
    </font>
    <font>
      <b/>
      <sz val="14"/>
      <color theme="1"/>
      <name val="Calibri"/>
      <family val="2"/>
      <scheme val="minor"/>
    </font>
    <font>
      <b/>
      <sz val="12"/>
      <color rgb="FFFF0000"/>
      <name val="Calibri"/>
      <family val="2"/>
    </font>
    <font>
      <sz val="12"/>
      <color theme="1"/>
      <name val="Calibri"/>
      <family val="2"/>
    </font>
    <font>
      <b/>
      <sz val="9"/>
      <color rgb="FF000000"/>
      <name val="Calibri"/>
      <family val="2"/>
    </font>
    <font>
      <sz val="9"/>
      <color rgb="FF000000"/>
      <name val="Calibri"/>
      <family val="2"/>
    </font>
    <font>
      <sz val="11"/>
      <color rgb="FF000000"/>
      <name val="Calibri"/>
      <family val="2"/>
    </font>
    <font>
      <sz val="12"/>
      <color rgb="FFFF0000"/>
      <name val="Calibri"/>
      <family val="2"/>
    </font>
    <font>
      <sz val="8"/>
      <color theme="1"/>
      <name val="Arial"/>
      <family val="2"/>
    </font>
    <font>
      <b/>
      <sz val="10"/>
      <color theme="0"/>
      <name val="Helvetica"/>
      <family val="2"/>
    </font>
    <font>
      <b/>
      <sz val="11"/>
      <color theme="1"/>
      <name val="Helvetica"/>
      <family val="2"/>
    </font>
    <font>
      <b/>
      <sz val="12"/>
      <color rgb="FFFF0000"/>
      <name val="Calibri"/>
      <family val="2"/>
      <scheme val="minor"/>
    </font>
    <font>
      <u/>
      <sz val="12"/>
      <color rgb="FF000000"/>
      <name val="Calibri"/>
      <family val="2"/>
      <scheme val="minor"/>
    </font>
    <font>
      <b/>
      <sz val="28"/>
      <color theme="1"/>
      <name val="Calibri"/>
      <family val="2"/>
      <scheme val="minor"/>
    </font>
    <font>
      <b/>
      <sz val="11"/>
      <color rgb="FF000000"/>
      <name val="Calibri"/>
      <family val="2"/>
    </font>
    <font>
      <sz val="11"/>
      <color rgb="FF000000"/>
      <name val="Calibri"/>
      <family val="2"/>
    </font>
    <font>
      <sz val="11"/>
      <color theme="1"/>
      <name val="Cambria"/>
      <family val="1"/>
    </font>
    <font>
      <sz val="11"/>
      <name val="Calibri"/>
      <family val="2"/>
    </font>
    <font>
      <b/>
      <sz val="11"/>
      <color theme="1" tint="4.9989318521683403E-2"/>
      <name val="Calibri"/>
      <family val="2"/>
    </font>
    <font>
      <sz val="11"/>
      <color theme="1" tint="4.9989318521683403E-2"/>
      <name val="Calibri"/>
      <family val="2"/>
    </font>
    <font>
      <b/>
      <sz val="12"/>
      <color rgb="FF333333"/>
      <name val="Arial"/>
      <family val="2"/>
    </font>
    <font>
      <sz val="12"/>
      <color rgb="FF333333"/>
      <name val="Arial"/>
      <family val="2"/>
    </font>
    <font>
      <sz val="12"/>
      <color rgb="FF000000"/>
      <name val="Arial"/>
      <family val="2"/>
    </font>
    <font>
      <b/>
      <sz val="12"/>
      <color rgb="FF000000"/>
      <name val="Arial"/>
      <family val="2"/>
    </font>
    <font>
      <sz val="16"/>
      <color theme="1"/>
      <name val="Calibri"/>
      <family val="2"/>
      <scheme val="minor"/>
    </font>
    <font>
      <sz val="16"/>
      <name val="Calibri"/>
      <family val="2"/>
      <scheme val="minor"/>
    </font>
    <font>
      <b/>
      <sz val="12"/>
      <color rgb="FFFF0000"/>
      <name val="Calibri"/>
      <family val="2"/>
    </font>
    <font>
      <b/>
      <i/>
      <sz val="12"/>
      <color rgb="FFFF0000"/>
      <name val="Calibri"/>
      <family val="2"/>
    </font>
    <font>
      <b/>
      <sz val="18"/>
      <color rgb="FF000000"/>
      <name val="Calibri"/>
      <family val="2"/>
    </font>
    <font>
      <sz val="14"/>
      <color theme="1"/>
      <name val="Calibri"/>
      <family val="2"/>
      <scheme val="minor"/>
    </font>
    <font>
      <b/>
      <sz val="18"/>
      <color rgb="FFFF0000"/>
      <name val="Calibri"/>
      <family val="2"/>
      <scheme val="minor"/>
    </font>
    <font>
      <sz val="18"/>
      <color theme="1"/>
      <name val="Calibri"/>
      <family val="2"/>
      <scheme val="minor"/>
    </font>
    <font>
      <b/>
      <sz val="14"/>
      <color rgb="FFFF0000"/>
      <name val="Calibri"/>
      <family val="2"/>
      <scheme val="minor"/>
    </font>
    <font>
      <sz val="12"/>
      <color rgb="FF000000"/>
      <name val="Raleway Medium"/>
    </font>
    <font>
      <sz val="11"/>
      <color rgb="FFFF0000"/>
      <name val="Calibri"/>
      <family val="2"/>
    </font>
    <font>
      <sz val="12"/>
      <name val="Calibri"/>
      <family val="2"/>
    </font>
    <font>
      <sz val="14"/>
      <color rgb="FF000000"/>
      <name val="Calibri"/>
      <family val="2"/>
    </font>
    <font>
      <b/>
      <sz val="14"/>
      <name val="Calibri"/>
      <family val="2"/>
      <scheme val="minor"/>
    </font>
    <font>
      <b/>
      <sz val="12"/>
      <color theme="1"/>
      <name val="Calibri"/>
      <family val="2"/>
    </font>
    <font>
      <b/>
      <sz val="12"/>
      <name val="Calibri"/>
      <family val="2"/>
    </font>
    <font>
      <sz val="11"/>
      <name val="Calibri"/>
      <family val="2"/>
      <scheme val="minor"/>
    </font>
    <font>
      <b/>
      <sz val="11"/>
      <name val="Calibri"/>
      <family val="2"/>
      <scheme val="minor"/>
    </font>
    <font>
      <b/>
      <sz val="14"/>
      <color rgb="FFC00000"/>
      <name val="Calibri"/>
      <family val="2"/>
      <scheme val="minor"/>
    </font>
    <font>
      <sz val="13"/>
      <color theme="1"/>
      <name val="Calibri"/>
      <family val="2"/>
      <scheme val="minor"/>
    </font>
    <font>
      <u val="singleAccounting"/>
      <sz val="13"/>
      <color theme="1"/>
      <name val="Calibri"/>
      <family val="2"/>
      <scheme val="minor"/>
    </font>
    <font>
      <b/>
      <sz val="13"/>
      <color theme="1"/>
      <name val="Calibri"/>
      <family val="2"/>
      <scheme val="minor"/>
    </font>
    <font>
      <b/>
      <u val="singleAccounting"/>
      <sz val="13"/>
      <color theme="1"/>
      <name val="Calibri"/>
      <family val="2"/>
      <scheme val="minor"/>
    </font>
    <font>
      <sz val="12"/>
      <color theme="1"/>
      <name val="Cambria"/>
      <family val="1"/>
    </font>
    <font>
      <sz val="18"/>
      <name val="Calibri"/>
      <family val="2"/>
      <scheme val="minor"/>
    </font>
    <font>
      <b/>
      <sz val="18"/>
      <name val="Calibri"/>
      <family val="2"/>
      <scheme val="minor"/>
    </font>
    <font>
      <sz val="11"/>
      <color rgb="FF004F41"/>
      <name val="Arial Bold"/>
    </font>
    <font>
      <sz val="10"/>
      <color theme="1"/>
      <name val="Calibri"/>
      <family val="2"/>
      <scheme val="minor"/>
    </font>
  </fonts>
  <fills count="35">
    <fill>
      <patternFill patternType="none"/>
    </fill>
    <fill>
      <patternFill patternType="gray125"/>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rgb="FFC6E0B4"/>
        <bgColor rgb="FF000000"/>
      </patternFill>
    </fill>
    <fill>
      <patternFill patternType="solid">
        <fgColor rgb="FFFFFFFF"/>
        <bgColor rgb="FF000000"/>
      </patternFill>
    </fill>
    <fill>
      <patternFill patternType="solid">
        <fgColor rgb="FFE2EFDA"/>
        <bgColor rgb="FF000000"/>
      </patternFill>
    </fill>
    <fill>
      <patternFill patternType="solid">
        <fgColor theme="5" tint="0.59999389629810485"/>
        <bgColor indexed="64"/>
      </patternFill>
    </fill>
    <fill>
      <patternFill patternType="solid">
        <fgColor rgb="FFFFF2CC"/>
        <bgColor rgb="FF000000"/>
      </patternFill>
    </fill>
    <fill>
      <patternFill patternType="solid">
        <fgColor rgb="FF000000"/>
        <bgColor indexed="64"/>
      </patternFill>
    </fill>
    <fill>
      <patternFill patternType="solid">
        <fgColor rgb="FFFFF2CC"/>
        <bgColor indexed="64"/>
      </patternFill>
    </fill>
    <fill>
      <patternFill patternType="solid">
        <fgColor theme="7" tint="0.79998168889431442"/>
        <bgColor rgb="FF000000"/>
      </patternFill>
    </fill>
    <fill>
      <patternFill patternType="solid">
        <fgColor theme="3"/>
        <bgColor indexed="64"/>
      </patternFill>
    </fill>
    <fill>
      <patternFill patternType="solid">
        <fgColor theme="9" tint="0.79998168889431442"/>
        <bgColor indexed="64"/>
      </patternFill>
    </fill>
    <fill>
      <patternFill patternType="solid">
        <fgColor rgb="FF92D050"/>
        <bgColor indexed="64"/>
      </patternFill>
    </fill>
    <fill>
      <patternFill patternType="solid">
        <fgColor rgb="FF00B0F0"/>
        <bgColor indexed="64"/>
      </patternFill>
    </fill>
    <fill>
      <patternFill patternType="solid">
        <fgColor rgb="FFDDEBF7"/>
        <bgColor rgb="FF000000"/>
      </patternFill>
    </fill>
    <fill>
      <patternFill patternType="solid">
        <fgColor theme="4" tint="0.39997558519241921"/>
        <bgColor indexed="64"/>
      </patternFill>
    </fill>
    <fill>
      <patternFill patternType="solid">
        <fgColor theme="7" tint="0.39997558519241921"/>
        <bgColor indexed="64"/>
      </patternFill>
    </fill>
    <fill>
      <patternFill patternType="solid">
        <fgColor rgb="FFFFE699"/>
        <bgColor rgb="FF000000"/>
      </patternFill>
    </fill>
    <fill>
      <patternFill patternType="solid">
        <fgColor theme="6" tint="0.39997558519241921"/>
        <bgColor rgb="FF000000"/>
      </patternFill>
    </fill>
    <fill>
      <patternFill patternType="solid">
        <fgColor theme="5" tint="0.59999389629810485"/>
        <bgColor rgb="FF000000"/>
      </patternFill>
    </fill>
    <fill>
      <patternFill patternType="solid">
        <fgColor theme="0"/>
        <bgColor rgb="FF000000"/>
      </patternFill>
    </fill>
    <fill>
      <patternFill patternType="solid">
        <fgColor rgb="FFE2EFDA"/>
        <bgColor rgb="FFE2EFDA"/>
      </patternFill>
    </fill>
    <fill>
      <patternFill patternType="solid">
        <fgColor theme="7" tint="0.59999389629810485"/>
        <bgColor indexed="64"/>
      </patternFill>
    </fill>
    <fill>
      <patternFill patternType="solid">
        <fgColor rgb="FF00B050"/>
        <bgColor indexed="64"/>
      </patternFill>
    </fill>
    <fill>
      <patternFill patternType="solid">
        <fgColor rgb="FFD9E1F2"/>
        <bgColor rgb="FF000000"/>
      </patternFill>
    </fill>
    <fill>
      <patternFill patternType="solid">
        <fgColor rgb="FFFFFF00"/>
        <bgColor rgb="FF000000"/>
      </patternFill>
    </fill>
    <fill>
      <patternFill patternType="solid">
        <fgColor theme="0" tint="-4.9989318521683403E-2"/>
        <bgColor indexed="64"/>
      </patternFill>
    </fill>
  </fills>
  <borders count="6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rgb="FF000000"/>
      </right>
      <top style="thin">
        <color indexed="64"/>
      </top>
      <bottom/>
      <diagonal/>
    </border>
    <border>
      <left/>
      <right style="thin">
        <color rgb="FF000000"/>
      </right>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double">
        <color indexed="64"/>
      </bottom>
      <diagonal/>
    </border>
    <border>
      <left/>
      <right style="thin">
        <color rgb="FF000000"/>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medium">
        <color indexed="64"/>
      </top>
      <bottom style="thin">
        <color indexed="64"/>
      </bottom>
      <diagonal/>
    </border>
    <border>
      <left/>
      <right style="thin">
        <color indexed="64"/>
      </right>
      <top style="medium">
        <color indexed="64"/>
      </top>
      <bottom/>
      <diagonal/>
    </border>
    <border>
      <left/>
      <right style="thin">
        <color indexed="64"/>
      </right>
      <top style="thin">
        <color indexed="64"/>
      </top>
      <bottom style="double">
        <color indexed="64"/>
      </bottom>
      <diagonal/>
    </border>
  </borders>
  <cellStyleXfs count="15">
    <xf numFmtId="0" fontId="0" fillId="0" borderId="0"/>
    <xf numFmtId="166" fontId="1" fillId="0" borderId="0" applyFont="0" applyFill="0" applyBorder="0" applyAlignment="0" applyProtection="0"/>
    <xf numFmtId="9" fontId="1" fillId="0" borderId="0" applyFont="0" applyFill="0" applyBorder="0" applyAlignment="0" applyProtection="0"/>
    <xf numFmtId="0" fontId="3" fillId="0" borderId="0"/>
    <xf numFmtId="0" fontId="17" fillId="0" borderId="0" applyNumberForma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47" fillId="0" borderId="0"/>
    <xf numFmtId="166" fontId="3" fillId="0" borderId="0" applyFont="0" applyFill="0" applyBorder="0" applyAlignment="0" applyProtection="0"/>
    <xf numFmtId="165" fontId="1" fillId="0" borderId="0" applyFont="0" applyFill="0" applyBorder="0" applyAlignment="0" applyProtection="0"/>
    <xf numFmtId="164"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cellStyleXfs>
  <cellXfs count="1261">
    <xf numFmtId="0" fontId="0" fillId="0" borderId="0" xfId="0"/>
    <xf numFmtId="166" fontId="0" fillId="0" borderId="0" xfId="1" applyFont="1"/>
    <xf numFmtId="0" fontId="0" fillId="2" borderId="0" xfId="0" applyFill="1"/>
    <xf numFmtId="0" fontId="4" fillId="4" borderId="0" xfId="3" applyFont="1" applyFill="1"/>
    <xf numFmtId="0" fontId="3" fillId="4" borderId="0" xfId="3" applyFill="1"/>
    <xf numFmtId="0" fontId="3" fillId="0" borderId="0" xfId="3"/>
    <xf numFmtId="0" fontId="3" fillId="4" borderId="7" xfId="3" applyFill="1" applyBorder="1" applyAlignment="1">
      <alignment horizontal="right"/>
    </xf>
    <xf numFmtId="0" fontId="3" fillId="4" borderId="5" xfId="3" applyFill="1" applyBorder="1"/>
    <xf numFmtId="0" fontId="0" fillId="4" borderId="0" xfId="3" applyFont="1" applyFill="1"/>
    <xf numFmtId="0" fontId="0" fillId="4" borderId="0" xfId="0" applyFill="1"/>
    <xf numFmtId="0" fontId="0" fillId="5" borderId="0" xfId="0" applyFill="1"/>
    <xf numFmtId="0" fontId="5" fillId="3" borderId="12" xfId="0" applyFont="1" applyFill="1" applyBorder="1"/>
    <xf numFmtId="0" fontId="6" fillId="3" borderId="9" xfId="0" applyFont="1" applyFill="1" applyBorder="1" applyAlignment="1">
      <alignment horizontal="center" wrapText="1"/>
    </xf>
    <xf numFmtId="0" fontId="6" fillId="3" borderId="9" xfId="0" applyFont="1" applyFill="1" applyBorder="1" applyAlignment="1">
      <alignment horizontal="center"/>
    </xf>
    <xf numFmtId="0" fontId="5" fillId="3" borderId="10" xfId="0" applyFont="1" applyFill="1" applyBorder="1"/>
    <xf numFmtId="0" fontId="7" fillId="3" borderId="9" xfId="0" applyFont="1" applyFill="1" applyBorder="1" applyAlignment="1">
      <alignment horizontal="center"/>
    </xf>
    <xf numFmtId="0" fontId="5" fillId="0" borderId="9" xfId="0" applyFont="1" applyBorder="1"/>
    <xf numFmtId="0" fontId="5" fillId="0" borderId="13" xfId="0" applyFont="1" applyBorder="1"/>
    <xf numFmtId="0" fontId="0" fillId="4" borderId="14" xfId="0" applyFill="1" applyBorder="1"/>
    <xf numFmtId="0" fontId="5" fillId="0" borderId="0" xfId="0" applyFont="1"/>
    <xf numFmtId="0" fontId="0" fillId="4" borderId="0" xfId="3" applyFont="1" applyFill="1" applyAlignment="1">
      <alignment horizontal="right"/>
    </xf>
    <xf numFmtId="0" fontId="0" fillId="4" borderId="7" xfId="3" applyFont="1" applyFill="1" applyBorder="1" applyAlignment="1">
      <alignment horizontal="center"/>
    </xf>
    <xf numFmtId="0" fontId="0" fillId="4" borderId="0" xfId="3" quotePrefix="1" applyFont="1" applyFill="1"/>
    <xf numFmtId="0" fontId="0" fillId="4" borderId="0" xfId="3" applyFont="1" applyFill="1" applyAlignment="1">
      <alignment horizontal="center"/>
    </xf>
    <xf numFmtId="10" fontId="4" fillId="4" borderId="8" xfId="3" applyNumberFormat="1" applyFont="1" applyFill="1" applyBorder="1"/>
    <xf numFmtId="10" fontId="3" fillId="4" borderId="5" xfId="3" applyNumberFormat="1" applyFill="1" applyBorder="1"/>
    <xf numFmtId="10" fontId="3" fillId="4" borderId="14" xfId="3" applyNumberFormat="1" applyFill="1" applyBorder="1"/>
    <xf numFmtId="0" fontId="3" fillId="4" borderId="15" xfId="3" applyFill="1" applyBorder="1"/>
    <xf numFmtId="10" fontId="3" fillId="4" borderId="0" xfId="3" applyNumberFormat="1" applyFill="1"/>
    <xf numFmtId="0" fontId="0" fillId="4" borderId="5" xfId="3" applyFont="1" applyFill="1" applyBorder="1"/>
    <xf numFmtId="3" fontId="3" fillId="4" borderId="0" xfId="3" applyNumberFormat="1" applyFill="1"/>
    <xf numFmtId="0" fontId="0" fillId="4" borderId="14" xfId="3" applyFont="1" applyFill="1" applyBorder="1"/>
    <xf numFmtId="3" fontId="3" fillId="4" borderId="15" xfId="3" applyNumberFormat="1" applyFill="1" applyBorder="1"/>
    <xf numFmtId="10" fontId="0" fillId="4" borderId="0" xfId="3" applyNumberFormat="1" applyFont="1" applyFill="1"/>
    <xf numFmtId="0" fontId="11" fillId="6" borderId="0" xfId="0" applyFont="1" applyFill="1"/>
    <xf numFmtId="0" fontId="0" fillId="6" borderId="0" xfId="0" applyFill="1"/>
    <xf numFmtId="0" fontId="12" fillId="0" borderId="0" xfId="0" applyFont="1" applyAlignment="1">
      <alignment vertical="center"/>
    </xf>
    <xf numFmtId="0" fontId="13" fillId="5" borderId="0" xfId="0" applyFont="1" applyFill="1" applyAlignment="1">
      <alignment vertical="center"/>
    </xf>
    <xf numFmtId="167" fontId="4" fillId="7" borderId="0" xfId="1" applyNumberFormat="1" applyFont="1" applyFill="1"/>
    <xf numFmtId="0" fontId="4" fillId="0" borderId="10" xfId="1" applyNumberFormat="1" applyFont="1" applyBorder="1" applyAlignment="1">
      <alignment horizontal="center"/>
    </xf>
    <xf numFmtId="0" fontId="14" fillId="5" borderId="0" xfId="0" applyFont="1" applyFill="1" applyAlignment="1">
      <alignment vertical="center"/>
    </xf>
    <xf numFmtId="167" fontId="0" fillId="0" borderId="0" xfId="1" applyNumberFormat="1" applyFont="1"/>
    <xf numFmtId="167" fontId="0" fillId="0" borderId="11" xfId="1" applyNumberFormat="1" applyFont="1" applyBorder="1"/>
    <xf numFmtId="167" fontId="0" fillId="4" borderId="0" xfId="1" applyNumberFormat="1" applyFont="1" applyFill="1"/>
    <xf numFmtId="168" fontId="0" fillId="4" borderId="11" xfId="1" applyNumberFormat="1" applyFont="1" applyFill="1" applyBorder="1"/>
    <xf numFmtId="167" fontId="15" fillId="6" borderId="16" xfId="1" applyNumberFormat="1" applyFont="1" applyFill="1" applyBorder="1"/>
    <xf numFmtId="168" fontId="4" fillId="6" borderId="17" xfId="1" applyNumberFormat="1" applyFont="1" applyFill="1" applyBorder="1"/>
    <xf numFmtId="168" fontId="0" fillId="0" borderId="11" xfId="1" applyNumberFormat="1" applyFont="1" applyBorder="1"/>
    <xf numFmtId="0" fontId="16" fillId="5" borderId="0" xfId="0" applyFont="1" applyFill="1" applyAlignment="1">
      <alignment vertical="center"/>
    </xf>
    <xf numFmtId="0" fontId="12" fillId="5" borderId="0" xfId="0" applyFont="1" applyFill="1" applyAlignment="1">
      <alignment vertical="center"/>
    </xf>
    <xf numFmtId="0" fontId="12" fillId="0" borderId="1" xfId="0" applyFont="1" applyBorder="1" applyAlignment="1">
      <alignment vertical="center"/>
    </xf>
    <xf numFmtId="0" fontId="14" fillId="0" borderId="2" xfId="0" applyFont="1" applyBorder="1" applyAlignment="1">
      <alignment vertical="center"/>
    </xf>
    <xf numFmtId="0" fontId="14" fillId="0" borderId="3" xfId="0" applyFont="1" applyBorder="1" applyAlignment="1">
      <alignment vertical="center"/>
    </xf>
    <xf numFmtId="167" fontId="4" fillId="7" borderId="18" xfId="1" applyNumberFormat="1" applyFont="1" applyFill="1" applyBorder="1"/>
    <xf numFmtId="167" fontId="4" fillId="7" borderId="2" xfId="1" applyNumberFormat="1" applyFont="1" applyFill="1" applyBorder="1" applyAlignment="1">
      <alignment horizontal="center"/>
    </xf>
    <xf numFmtId="167" fontId="4" fillId="7" borderId="12" xfId="1" applyNumberFormat="1" applyFont="1" applyFill="1" applyBorder="1" applyAlignment="1">
      <alignment horizontal="center"/>
    </xf>
    <xf numFmtId="167" fontId="4" fillId="7" borderId="3" xfId="1" applyNumberFormat="1" applyFont="1" applyFill="1" applyBorder="1" applyAlignment="1">
      <alignment horizontal="center"/>
    </xf>
    <xf numFmtId="167" fontId="0" fillId="0" borderId="4" xfId="1" applyNumberFormat="1" applyFont="1" applyBorder="1"/>
    <xf numFmtId="167" fontId="0" fillId="0" borderId="12" xfId="1" applyNumberFormat="1" applyFont="1" applyBorder="1"/>
    <xf numFmtId="168" fontId="0" fillId="5" borderId="11" xfId="0" applyNumberFormat="1" applyFill="1" applyBorder="1"/>
    <xf numFmtId="167" fontId="0" fillId="0" borderId="10" xfId="1" applyNumberFormat="1" applyFont="1" applyBorder="1"/>
    <xf numFmtId="168" fontId="4" fillId="7" borderId="19" xfId="1" applyNumberFormat="1" applyFont="1" applyFill="1" applyBorder="1"/>
    <xf numFmtId="167" fontId="0" fillId="0" borderId="0" xfId="1" applyNumberFormat="1" applyFont="1" applyBorder="1"/>
    <xf numFmtId="167" fontId="0" fillId="0" borderId="5" xfId="1" applyNumberFormat="1" applyFont="1" applyBorder="1"/>
    <xf numFmtId="168" fontId="0" fillId="0" borderId="0" xfId="1" applyNumberFormat="1" applyFont="1" applyBorder="1"/>
    <xf numFmtId="168" fontId="0" fillId="0" borderId="5" xfId="1" applyNumberFormat="1" applyFont="1" applyBorder="1"/>
    <xf numFmtId="167" fontId="0" fillId="7" borderId="18" xfId="1" applyNumberFormat="1" applyFont="1" applyFill="1" applyBorder="1"/>
    <xf numFmtId="167" fontId="0" fillId="7" borderId="20" xfId="1" applyNumberFormat="1" applyFont="1" applyFill="1" applyBorder="1"/>
    <xf numFmtId="167" fontId="0" fillId="7" borderId="19" xfId="1" applyNumberFormat="1" applyFont="1" applyFill="1" applyBorder="1"/>
    <xf numFmtId="168" fontId="0" fillId="7" borderId="18" xfId="1" applyNumberFormat="1" applyFont="1" applyFill="1" applyBorder="1"/>
    <xf numFmtId="167" fontId="0" fillId="0" borderId="7" xfId="1" applyNumberFormat="1" applyFont="1" applyBorder="1"/>
    <xf numFmtId="168" fontId="0" fillId="0" borderId="10" xfId="1" applyNumberFormat="1" applyFont="1" applyBorder="1"/>
    <xf numFmtId="167" fontId="4" fillId="7" borderId="20" xfId="1" applyNumberFormat="1" applyFont="1" applyFill="1" applyBorder="1"/>
    <xf numFmtId="168" fontId="4" fillId="7" borderId="18" xfId="1" applyNumberFormat="1" applyFont="1" applyFill="1" applyBorder="1"/>
    <xf numFmtId="0" fontId="17" fillId="0" borderId="0" xfId="4"/>
    <xf numFmtId="0" fontId="18" fillId="3" borderId="22" xfId="0" applyFont="1" applyFill="1" applyBorder="1" applyAlignment="1">
      <alignment horizontal="left" vertical="top" wrapText="1"/>
    </xf>
    <xf numFmtId="0" fontId="18" fillId="3" borderId="23" xfId="0" applyFont="1" applyFill="1" applyBorder="1" applyAlignment="1">
      <alignment horizontal="left" vertical="top" wrapText="1"/>
    </xf>
    <xf numFmtId="0" fontId="4" fillId="4" borderId="0" xfId="0" applyFont="1" applyFill="1"/>
    <xf numFmtId="0" fontId="0" fillId="3" borderId="9" xfId="0" applyFill="1" applyBorder="1"/>
    <xf numFmtId="0" fontId="4" fillId="3" borderId="0" xfId="0" applyFont="1" applyFill="1"/>
    <xf numFmtId="0" fontId="20" fillId="8" borderId="29" xfId="0" applyFont="1" applyFill="1" applyBorder="1" applyAlignment="1">
      <alignment horizontal="right" vertical="center" wrapText="1"/>
    </xf>
    <xf numFmtId="0" fontId="21" fillId="0" borderId="23" xfId="0" applyFont="1" applyBorder="1" applyAlignment="1">
      <alignment horizontal="center" vertical="center" wrapText="1"/>
    </xf>
    <xf numFmtId="0" fontId="2" fillId="0" borderId="26" xfId="0" applyFont="1" applyBorder="1" applyAlignment="1">
      <alignment horizontal="right" vertical="center" wrapText="1"/>
    </xf>
    <xf numFmtId="3" fontId="1" fillId="0" borderId="9" xfId="0" applyNumberFormat="1" applyFont="1" applyBorder="1" applyAlignment="1">
      <alignment horizontal="center" vertical="center" wrapText="1"/>
    </xf>
    <xf numFmtId="0" fontId="2" fillId="0" borderId="24" xfId="0" applyFont="1" applyBorder="1" applyAlignment="1">
      <alignment horizontal="right" vertical="center" wrapText="1"/>
    </xf>
    <xf numFmtId="0" fontId="2" fillId="0" borderId="13" xfId="0" applyFont="1" applyBorder="1" applyAlignment="1">
      <alignment horizontal="right"/>
    </xf>
    <xf numFmtId="9" fontId="1" fillId="0" borderId="9" xfId="0" applyNumberFormat="1" applyFont="1" applyBorder="1" applyAlignment="1">
      <alignment horizontal="center"/>
    </xf>
    <xf numFmtId="0" fontId="1" fillId="0" borderId="9" xfId="0" applyFont="1" applyBorder="1" applyAlignment="1">
      <alignment horizontal="center"/>
    </xf>
    <xf numFmtId="0" fontId="0" fillId="3" borderId="6" xfId="0" applyFill="1" applyBorder="1" applyAlignment="1">
      <alignment horizontal="left" vertical="top" wrapText="1"/>
    </xf>
    <xf numFmtId="0" fontId="0" fillId="3" borderId="7" xfId="0" applyFill="1" applyBorder="1" applyAlignment="1">
      <alignment horizontal="left" vertical="top" wrapText="1"/>
    </xf>
    <xf numFmtId="0" fontId="0" fillId="3" borderId="8" xfId="0" applyFill="1" applyBorder="1" applyAlignment="1">
      <alignment horizontal="left" vertical="top" wrapText="1"/>
    </xf>
    <xf numFmtId="0" fontId="4" fillId="5" borderId="0" xfId="0" applyFont="1" applyFill="1" applyAlignment="1">
      <alignment horizontal="left" wrapText="1"/>
    </xf>
    <xf numFmtId="0" fontId="4" fillId="4" borderId="0" xfId="0" applyFont="1" applyFill="1" applyAlignment="1">
      <alignment horizontal="left" wrapText="1"/>
    </xf>
    <xf numFmtId="0" fontId="4" fillId="4" borderId="0" xfId="0" applyFont="1" applyFill="1" applyAlignment="1">
      <alignment horizontal="center" wrapText="1"/>
    </xf>
    <xf numFmtId="0" fontId="22" fillId="4" borderId="0" xfId="0" applyFont="1" applyFill="1"/>
    <xf numFmtId="0" fontId="4" fillId="4" borderId="0" xfId="0" applyFont="1" applyFill="1" applyAlignment="1">
      <alignment horizontal="right"/>
    </xf>
    <xf numFmtId="169" fontId="0" fillId="4" borderId="0" xfId="1" applyNumberFormat="1" applyFont="1" applyFill="1" applyProtection="1"/>
    <xf numFmtId="169" fontId="0" fillId="5" borderId="0" xfId="1" applyNumberFormat="1" applyFont="1" applyFill="1" applyProtection="1"/>
    <xf numFmtId="0" fontId="0" fillId="4" borderId="0" xfId="0" applyFill="1" applyAlignment="1">
      <alignment horizontal="right"/>
    </xf>
    <xf numFmtId="169" fontId="19" fillId="4" borderId="0" xfId="1" applyNumberFormat="1" applyFont="1" applyFill="1"/>
    <xf numFmtId="169" fontId="0" fillId="4" borderId="0" xfId="1" applyNumberFormat="1" applyFont="1" applyFill="1"/>
    <xf numFmtId="169" fontId="0" fillId="4" borderId="15" xfId="1" applyNumberFormat="1" applyFont="1" applyFill="1" applyBorder="1" applyProtection="1"/>
    <xf numFmtId="169" fontId="0" fillId="4" borderId="0" xfId="0" applyNumberFormat="1" applyFill="1"/>
    <xf numFmtId="9" fontId="0" fillId="5" borderId="0" xfId="2" applyFont="1" applyFill="1" applyProtection="1"/>
    <xf numFmtId="169" fontId="18" fillId="4" borderId="0" xfId="1" applyNumberFormat="1" applyFont="1" applyFill="1"/>
    <xf numFmtId="0" fontId="19" fillId="4" borderId="0" xfId="0" applyFont="1" applyFill="1"/>
    <xf numFmtId="169" fontId="18" fillId="4" borderId="0" xfId="1" applyNumberFormat="1" applyFont="1" applyFill="1" applyProtection="1"/>
    <xf numFmtId="169" fontId="0" fillId="0" borderId="0" xfId="1" applyNumberFormat="1" applyFont="1" applyFill="1" applyProtection="1"/>
    <xf numFmtId="169" fontId="4" fillId="4" borderId="0" xfId="0" applyNumberFormat="1" applyFont="1" applyFill="1"/>
    <xf numFmtId="169" fontId="4" fillId="4" borderId="0" xfId="1" applyNumberFormat="1" applyFont="1" applyFill="1" applyProtection="1"/>
    <xf numFmtId="169" fontId="0" fillId="5" borderId="0" xfId="0" applyNumberFormat="1" applyFill="1"/>
    <xf numFmtId="0" fontId="0" fillId="3" borderId="7" xfId="0" applyFill="1" applyBorder="1"/>
    <xf numFmtId="166" fontId="0" fillId="4" borderId="0" xfId="1" applyFont="1" applyFill="1" applyProtection="1"/>
    <xf numFmtId="0" fontId="3" fillId="9" borderId="9" xfId="3" applyFill="1" applyBorder="1"/>
    <xf numFmtId="0" fontId="3" fillId="0" borderId="9" xfId="3" applyBorder="1"/>
    <xf numFmtId="9" fontId="3" fillId="0" borderId="9" xfId="3" applyNumberFormat="1" applyBorder="1"/>
    <xf numFmtId="167" fontId="3" fillId="0" borderId="9" xfId="5" applyNumberFormat="1" applyFont="1" applyBorder="1"/>
    <xf numFmtId="0" fontId="28" fillId="10" borderId="9" xfId="3" applyFont="1" applyFill="1" applyBorder="1"/>
    <xf numFmtId="0" fontId="28" fillId="0" borderId="0" xfId="3" applyFont="1"/>
    <xf numFmtId="0" fontId="28" fillId="10" borderId="14" xfId="3" applyFont="1" applyFill="1" applyBorder="1"/>
    <xf numFmtId="0" fontId="28" fillId="0" borderId="5" xfId="3" applyFont="1" applyBorder="1"/>
    <xf numFmtId="0" fontId="28" fillId="0" borderId="3" xfId="3" applyFont="1" applyBorder="1"/>
    <xf numFmtId="170" fontId="28" fillId="0" borderId="5" xfId="3" applyNumberFormat="1" applyFont="1" applyBorder="1"/>
    <xf numFmtId="170" fontId="28" fillId="11" borderId="5" xfId="3" applyNumberFormat="1" applyFont="1" applyFill="1" applyBorder="1"/>
    <xf numFmtId="0" fontId="28" fillId="0" borderId="8" xfId="3" applyFont="1" applyBorder="1"/>
    <xf numFmtId="170" fontId="28" fillId="0" borderId="8" xfId="3" applyNumberFormat="1" applyFont="1" applyBorder="1"/>
    <xf numFmtId="170" fontId="28" fillId="10" borderId="14" xfId="3" applyNumberFormat="1" applyFont="1" applyFill="1" applyBorder="1"/>
    <xf numFmtId="0" fontId="28" fillId="0" borderId="9" xfId="3" applyFont="1" applyBorder="1"/>
    <xf numFmtId="170" fontId="28" fillId="0" borderId="3" xfId="3" applyNumberFormat="1" applyFont="1" applyBorder="1"/>
    <xf numFmtId="170" fontId="28" fillId="0" borderId="12" xfId="3" applyNumberFormat="1" applyFont="1" applyBorder="1"/>
    <xf numFmtId="170" fontId="28" fillId="0" borderId="11" xfId="3" applyNumberFormat="1" applyFont="1" applyBorder="1"/>
    <xf numFmtId="170" fontId="28" fillId="10" borderId="9" xfId="3" applyNumberFormat="1" applyFont="1" applyFill="1" applyBorder="1"/>
    <xf numFmtId="170" fontId="28" fillId="0" borderId="0" xfId="3" applyNumberFormat="1" applyFont="1"/>
    <xf numFmtId="170" fontId="28" fillId="10" borderId="13" xfId="3" applyNumberFormat="1" applyFont="1" applyFill="1" applyBorder="1"/>
    <xf numFmtId="170" fontId="28" fillId="10" borderId="15" xfId="3" applyNumberFormat="1" applyFont="1" applyFill="1" applyBorder="1"/>
    <xf numFmtId="0" fontId="28" fillId="12" borderId="5" xfId="3" applyFont="1" applyFill="1" applyBorder="1"/>
    <xf numFmtId="170" fontId="3" fillId="0" borderId="0" xfId="3" applyNumberFormat="1"/>
    <xf numFmtId="0" fontId="4" fillId="0" borderId="0" xfId="3" applyFont="1"/>
    <xf numFmtId="3" fontId="3" fillId="5" borderId="0" xfId="3" applyNumberFormat="1" applyFill="1"/>
    <xf numFmtId="0" fontId="3" fillId="4" borderId="7" xfId="3" applyFill="1" applyBorder="1"/>
    <xf numFmtId="3" fontId="3" fillId="0" borderId="0" xfId="3" applyNumberFormat="1"/>
    <xf numFmtId="0" fontId="3" fillId="0" borderId="7" xfId="3" applyBorder="1"/>
    <xf numFmtId="0" fontId="9" fillId="0" borderId="7" xfId="3" applyFont="1" applyBorder="1"/>
    <xf numFmtId="3" fontId="9" fillId="0" borderId="0" xfId="3" applyNumberFormat="1" applyFont="1"/>
    <xf numFmtId="3" fontId="23" fillId="0" borderId="0" xfId="3" applyNumberFormat="1" applyFont="1"/>
    <xf numFmtId="0" fontId="4" fillId="0" borderId="15" xfId="3" applyFont="1" applyBorder="1"/>
    <xf numFmtId="3" fontId="10" fillId="0" borderId="15" xfId="3" applyNumberFormat="1" applyFont="1" applyBorder="1"/>
    <xf numFmtId="0" fontId="24" fillId="0" borderId="0" xfId="3" applyFont="1"/>
    <xf numFmtId="3" fontId="25" fillId="0" borderId="0" xfId="3" applyNumberFormat="1" applyFont="1"/>
    <xf numFmtId="3" fontId="9" fillId="4" borderId="0" xfId="3" applyNumberFormat="1" applyFont="1" applyFill="1"/>
    <xf numFmtId="0" fontId="4" fillId="4" borderId="15" xfId="3" applyFont="1" applyFill="1" applyBorder="1"/>
    <xf numFmtId="3" fontId="10" fillId="4" borderId="15" xfId="3" applyNumberFormat="1" applyFont="1" applyFill="1" applyBorder="1"/>
    <xf numFmtId="3" fontId="26" fillId="0" borderId="15" xfId="3" applyNumberFormat="1" applyFont="1" applyBorder="1"/>
    <xf numFmtId="0" fontId="27" fillId="0" borderId="0" xfId="3" applyFont="1"/>
    <xf numFmtId="3" fontId="19" fillId="0" borderId="0" xfId="3" applyNumberFormat="1" applyFont="1"/>
    <xf numFmtId="3" fontId="19" fillId="4" borderId="0" xfId="3" applyNumberFormat="1" applyFont="1" applyFill="1"/>
    <xf numFmtId="3" fontId="22" fillId="4" borderId="15" xfId="3" applyNumberFormat="1" applyFont="1" applyFill="1" applyBorder="1"/>
    <xf numFmtId="3" fontId="18" fillId="0" borderId="0" xfId="3" applyNumberFormat="1" applyFont="1"/>
    <xf numFmtId="0" fontId="29" fillId="13" borderId="0" xfId="3" applyFont="1" applyFill="1"/>
    <xf numFmtId="0" fontId="3" fillId="13" borderId="0" xfId="3" applyFill="1"/>
    <xf numFmtId="0" fontId="3" fillId="9" borderId="9" xfId="3" applyFill="1" applyBorder="1" applyAlignment="1">
      <alignment wrapText="1"/>
    </xf>
    <xf numFmtId="0" fontId="31" fillId="2" borderId="0" xfId="0" applyFont="1" applyFill="1" applyAlignment="1">
      <alignment horizontal="left"/>
    </xf>
    <xf numFmtId="0" fontId="32" fillId="0" borderId="0" xfId="0" applyFont="1"/>
    <xf numFmtId="0" fontId="0" fillId="15" borderId="0" xfId="0" applyFill="1"/>
    <xf numFmtId="0" fontId="33" fillId="15" borderId="0" xfId="0" applyFont="1" applyFill="1" applyAlignment="1">
      <alignment horizontal="left" vertical="top"/>
    </xf>
    <xf numFmtId="0" fontId="0" fillId="16" borderId="0" xfId="0" applyFill="1"/>
    <xf numFmtId="0" fontId="35" fillId="6" borderId="9" xfId="0" applyFont="1" applyFill="1" applyBorder="1" applyAlignment="1">
      <alignment vertical="center"/>
    </xf>
    <xf numFmtId="167" fontId="4" fillId="7" borderId="20" xfId="5" applyNumberFormat="1" applyFont="1" applyFill="1" applyBorder="1" applyAlignment="1">
      <alignment horizontal="center"/>
    </xf>
    <xf numFmtId="167" fontId="4" fillId="7" borderId="18" xfId="5" applyNumberFormat="1" applyFont="1" applyFill="1" applyBorder="1" applyAlignment="1">
      <alignment horizontal="center"/>
    </xf>
    <xf numFmtId="167" fontId="4" fillId="7" borderId="19" xfId="5" applyNumberFormat="1" applyFont="1" applyFill="1" applyBorder="1" applyAlignment="1">
      <alignment horizontal="center"/>
    </xf>
    <xf numFmtId="167" fontId="0" fillId="0" borderId="11" xfId="5" applyNumberFormat="1" applyFont="1" applyBorder="1"/>
    <xf numFmtId="167" fontId="0" fillId="0" borderId="0" xfId="5" applyNumberFormat="1" applyFont="1" applyBorder="1"/>
    <xf numFmtId="167" fontId="0" fillId="0" borderId="5" xfId="5" applyNumberFormat="1" applyFont="1" applyBorder="1"/>
    <xf numFmtId="171" fontId="0" fillId="0" borderId="0" xfId="5" applyNumberFormat="1" applyFont="1" applyBorder="1"/>
    <xf numFmtId="171" fontId="0" fillId="0" borderId="11" xfId="5" applyNumberFormat="1" applyFont="1" applyBorder="1"/>
    <xf numFmtId="171" fontId="0" fillId="0" borderId="5" xfId="5" applyNumberFormat="1" applyFont="1" applyBorder="1"/>
    <xf numFmtId="167" fontId="0" fillId="0" borderId="18" xfId="5" applyNumberFormat="1" applyFont="1" applyBorder="1"/>
    <xf numFmtId="171" fontId="0" fillId="0" borderId="20" xfId="5" applyNumberFormat="1" applyFont="1" applyBorder="1"/>
    <xf numFmtId="171" fontId="0" fillId="0" borderId="18" xfId="5" applyNumberFormat="1" applyFont="1" applyBorder="1"/>
    <xf numFmtId="171" fontId="0" fillId="0" borderId="19" xfId="5" applyNumberFormat="1" applyFont="1" applyBorder="1"/>
    <xf numFmtId="167" fontId="0" fillId="7" borderId="18" xfId="5" applyNumberFormat="1" applyFont="1" applyFill="1" applyBorder="1"/>
    <xf numFmtId="171" fontId="0" fillId="7" borderId="20" xfId="5" applyNumberFormat="1" applyFont="1" applyFill="1" applyBorder="1"/>
    <xf numFmtId="171" fontId="0" fillId="7" borderId="18" xfId="5" applyNumberFormat="1" applyFont="1" applyFill="1" applyBorder="1"/>
    <xf numFmtId="171" fontId="0" fillId="7" borderId="19" xfId="5" applyNumberFormat="1" applyFont="1" applyFill="1" applyBorder="1"/>
    <xf numFmtId="167" fontId="0" fillId="0" borderId="10" xfId="5" applyNumberFormat="1" applyFont="1" applyBorder="1"/>
    <xf numFmtId="171" fontId="0" fillId="0" borderId="7" xfId="5" applyNumberFormat="1" applyFont="1" applyBorder="1"/>
    <xf numFmtId="171" fontId="0" fillId="0" borderId="10" xfId="5" applyNumberFormat="1" applyFont="1" applyBorder="1"/>
    <xf numFmtId="167" fontId="4" fillId="7" borderId="9" xfId="5" applyNumberFormat="1" applyFont="1" applyFill="1" applyBorder="1"/>
    <xf numFmtId="171" fontId="4" fillId="7" borderId="15" xfId="5" applyNumberFormat="1" applyFont="1" applyFill="1" applyBorder="1"/>
    <xf numFmtId="171" fontId="4" fillId="7" borderId="9" xfId="5" applyNumberFormat="1" applyFont="1" applyFill="1" applyBorder="1"/>
    <xf numFmtId="0" fontId="0" fillId="3" borderId="0" xfId="0" applyFill="1" applyAlignment="1">
      <alignment horizontal="left"/>
    </xf>
    <xf numFmtId="0" fontId="0" fillId="3" borderId="0" xfId="0" applyFill="1"/>
    <xf numFmtId="0" fontId="16" fillId="0" borderId="0" xfId="0" applyFont="1" applyAlignment="1">
      <alignment vertical="center"/>
    </xf>
    <xf numFmtId="0" fontId="14" fillId="0" borderId="0" xfId="0" applyFont="1" applyAlignment="1">
      <alignment vertical="center"/>
    </xf>
    <xf numFmtId="0" fontId="37" fillId="3" borderId="0" xfId="0" applyFont="1" applyFill="1" applyAlignment="1">
      <alignment vertical="center"/>
    </xf>
    <xf numFmtId="0" fontId="38" fillId="3" borderId="0" xfId="0" applyFont="1" applyFill="1" applyAlignment="1">
      <alignment vertical="center"/>
    </xf>
    <xf numFmtId="0" fontId="14" fillId="3" borderId="0" xfId="0" applyFont="1" applyFill="1" applyAlignment="1">
      <alignment vertical="center"/>
    </xf>
    <xf numFmtId="0" fontId="16" fillId="3" borderId="0" xfId="0" applyFont="1" applyFill="1" applyAlignment="1">
      <alignment vertical="center"/>
    </xf>
    <xf numFmtId="0" fontId="13" fillId="0" borderId="0" xfId="0" applyFont="1"/>
    <xf numFmtId="0" fontId="4" fillId="0" borderId="9" xfId="5" applyNumberFormat="1" applyFont="1" applyBorder="1" applyAlignment="1">
      <alignment horizontal="center"/>
    </xf>
    <xf numFmtId="0" fontId="0" fillId="5" borderId="0" xfId="0" applyFill="1" applyAlignment="1" applyProtection="1">
      <alignment horizontal="left" vertical="top" wrapText="1"/>
      <protection locked="0"/>
    </xf>
    <xf numFmtId="167" fontId="0" fillId="0" borderId="4" xfId="5" applyNumberFormat="1" applyFont="1" applyBorder="1"/>
    <xf numFmtId="167" fontId="0" fillId="4" borderId="4" xfId="5" applyNumberFormat="1" applyFont="1" applyFill="1" applyBorder="1"/>
    <xf numFmtId="171" fontId="0" fillId="4" borderId="11" xfId="5" applyNumberFormat="1" applyFont="1" applyFill="1" applyBorder="1"/>
    <xf numFmtId="167" fontId="40" fillId="7" borderId="35" xfId="5" applyNumberFormat="1" applyFont="1" applyFill="1" applyBorder="1"/>
    <xf numFmtId="171" fontId="40" fillId="7" borderId="17" xfId="5" applyNumberFormat="1" applyFont="1" applyFill="1" applyBorder="1"/>
    <xf numFmtId="167" fontId="40" fillId="0" borderId="13" xfId="5" applyNumberFormat="1" applyFont="1" applyFill="1" applyBorder="1"/>
    <xf numFmtId="171" fontId="40" fillId="0" borderId="9" xfId="5" applyNumberFormat="1" applyFont="1" applyFill="1" applyBorder="1"/>
    <xf numFmtId="167" fontId="40" fillId="5" borderId="0" xfId="5" applyNumberFormat="1" applyFont="1" applyFill="1" applyBorder="1"/>
    <xf numFmtId="0" fontId="10" fillId="3" borderId="0" xfId="0" applyFont="1" applyFill="1" applyAlignment="1">
      <alignment horizontal="left" vertical="center"/>
    </xf>
    <xf numFmtId="0" fontId="46" fillId="3" borderId="21" xfId="0" applyFont="1" applyFill="1" applyBorder="1" applyAlignment="1">
      <alignment horizontal="left" vertical="top"/>
    </xf>
    <xf numFmtId="0" fontId="4" fillId="6" borderId="0" xfId="3" applyFont="1" applyFill="1"/>
    <xf numFmtId="0" fontId="3" fillId="5" borderId="0" xfId="3" applyFill="1"/>
    <xf numFmtId="0" fontId="48" fillId="18" borderId="0" xfId="7" applyFont="1" applyFill="1" applyAlignment="1">
      <alignment horizontal="left"/>
    </xf>
    <xf numFmtId="0" fontId="48" fillId="18" borderId="0" xfId="7" applyFont="1" applyFill="1" applyAlignment="1">
      <alignment horizontal="center"/>
    </xf>
    <xf numFmtId="0" fontId="48" fillId="18" borderId="0" xfId="7" applyFont="1" applyFill="1" applyAlignment="1">
      <alignment horizontal="right"/>
    </xf>
    <xf numFmtId="0" fontId="49" fillId="0" borderId="0" xfId="7" applyFont="1"/>
    <xf numFmtId="38" fontId="49" fillId="0" borderId="0" xfId="7" applyNumberFormat="1" applyFont="1"/>
    <xf numFmtId="38" fontId="3" fillId="5" borderId="0" xfId="3" applyNumberFormat="1" applyFill="1"/>
    <xf numFmtId="0" fontId="3" fillId="6" borderId="0" xfId="3" applyFill="1"/>
    <xf numFmtId="3" fontId="48" fillId="18" borderId="0" xfId="7" applyNumberFormat="1" applyFont="1" applyFill="1" applyAlignment="1">
      <alignment horizontal="right"/>
    </xf>
    <xf numFmtId="1" fontId="48" fillId="18" borderId="0" xfId="7" applyNumberFormat="1" applyFont="1" applyFill="1" applyAlignment="1">
      <alignment horizontal="right"/>
    </xf>
    <xf numFmtId="38" fontId="49" fillId="0" borderId="0" xfId="7" applyNumberFormat="1" applyFont="1" applyAlignment="1">
      <alignment horizontal="right"/>
    </xf>
    <xf numFmtId="9" fontId="3" fillId="5" borderId="0" xfId="3" applyNumberFormat="1" applyFill="1"/>
    <xf numFmtId="0" fontId="9" fillId="3" borderId="2" xfId="3" applyFont="1" applyFill="1" applyBorder="1" applyAlignment="1">
      <alignment vertical="top"/>
    </xf>
    <xf numFmtId="0" fontId="9" fillId="3" borderId="3" xfId="3" applyFont="1" applyFill="1" applyBorder="1" applyAlignment="1">
      <alignment vertical="top"/>
    </xf>
    <xf numFmtId="0" fontId="9" fillId="3" borderId="0" xfId="3" applyFont="1" applyFill="1" applyAlignment="1">
      <alignment vertical="top"/>
    </xf>
    <xf numFmtId="0" fontId="9" fillId="3" borderId="5" xfId="3" applyFont="1" applyFill="1" applyBorder="1" applyAlignment="1">
      <alignment vertical="top"/>
    </xf>
    <xf numFmtId="0" fontId="9" fillId="3" borderId="7" xfId="3" applyFont="1" applyFill="1" applyBorder="1" applyAlignment="1">
      <alignment vertical="top"/>
    </xf>
    <xf numFmtId="0" fontId="9" fillId="3" borderId="8" xfId="3" applyFont="1" applyFill="1" applyBorder="1" applyAlignment="1">
      <alignment vertical="top"/>
    </xf>
    <xf numFmtId="3" fontId="4" fillId="4" borderId="2" xfId="3" applyNumberFormat="1" applyFont="1" applyFill="1" applyBorder="1"/>
    <xf numFmtId="0" fontId="50" fillId="3" borderId="0" xfId="3" applyFont="1" applyFill="1"/>
    <xf numFmtId="17" fontId="30" fillId="5" borderId="0" xfId="3" applyNumberFormat="1" applyFont="1" applyFill="1" applyAlignment="1">
      <alignment horizontal="right"/>
    </xf>
    <xf numFmtId="3" fontId="30" fillId="5" borderId="0" xfId="3" applyNumberFormat="1" applyFont="1" applyFill="1" applyAlignment="1">
      <alignment horizontal="right"/>
    </xf>
    <xf numFmtId="0" fontId="29" fillId="5" borderId="0" xfId="3" applyFont="1" applyFill="1" applyAlignment="1">
      <alignment horizontal="right"/>
    </xf>
    <xf numFmtId="0" fontId="30" fillId="5" borderId="0" xfId="3" applyFont="1" applyFill="1" applyAlignment="1">
      <alignment horizontal="right"/>
    </xf>
    <xf numFmtId="3" fontId="3" fillId="5" borderId="0" xfId="3" applyNumberFormat="1" applyFill="1" applyAlignment="1">
      <alignment horizontal="right"/>
    </xf>
    <xf numFmtId="0" fontId="3" fillId="5" borderId="0" xfId="3" applyFill="1" applyAlignment="1">
      <alignment horizontal="right"/>
    </xf>
    <xf numFmtId="0" fontId="50" fillId="6" borderId="0" xfId="3" applyFont="1" applyFill="1"/>
    <xf numFmtId="0" fontId="3" fillId="5" borderId="0" xfId="3" applyFill="1" applyAlignment="1">
      <alignment horizontal="left"/>
    </xf>
    <xf numFmtId="0" fontId="4" fillId="4" borderId="26" xfId="3" applyFont="1" applyFill="1" applyBorder="1"/>
    <xf numFmtId="169" fontId="4" fillId="4" borderId="27" xfId="3" applyNumberFormat="1" applyFont="1" applyFill="1" applyBorder="1"/>
    <xf numFmtId="169" fontId="4" fillId="4" borderId="38" xfId="3" applyNumberFormat="1" applyFont="1" applyFill="1" applyBorder="1"/>
    <xf numFmtId="0" fontId="3" fillId="4" borderId="22" xfId="3" applyFill="1" applyBorder="1"/>
    <xf numFmtId="0" fontId="3" fillId="4" borderId="23" xfId="3" applyFill="1" applyBorder="1"/>
    <xf numFmtId="0" fontId="3" fillId="4" borderId="24" xfId="3" applyFill="1" applyBorder="1"/>
    <xf numFmtId="0" fontId="4" fillId="4" borderId="0" xfId="3" applyFont="1" applyFill="1" applyAlignment="1">
      <alignment horizontal="right"/>
    </xf>
    <xf numFmtId="0" fontId="4" fillId="4" borderId="25" xfId="3" applyFont="1" applyFill="1" applyBorder="1" applyAlignment="1">
      <alignment horizontal="right"/>
    </xf>
    <xf numFmtId="169" fontId="3" fillId="4" borderId="0" xfId="3" applyNumberFormat="1" applyFill="1"/>
    <xf numFmtId="169" fontId="3" fillId="4" borderId="25" xfId="3" applyNumberFormat="1" applyFill="1" applyBorder="1"/>
    <xf numFmtId="169" fontId="4" fillId="4" borderId="0" xfId="3" applyNumberFormat="1" applyFont="1" applyFill="1"/>
    <xf numFmtId="169" fontId="4" fillId="4" borderId="37" xfId="3" applyNumberFormat="1" applyFont="1" applyFill="1" applyBorder="1"/>
    <xf numFmtId="0" fontId="3" fillId="4" borderId="25" xfId="3" applyFill="1" applyBorder="1"/>
    <xf numFmtId="0" fontId="3" fillId="4" borderId="26" xfId="3" applyFill="1" applyBorder="1"/>
    <xf numFmtId="0" fontId="3" fillId="4" borderId="27" xfId="3" applyFill="1" applyBorder="1"/>
    <xf numFmtId="0" fontId="4" fillId="4" borderId="12" xfId="3" applyFont="1" applyFill="1" applyBorder="1"/>
    <xf numFmtId="0" fontId="3" fillId="4" borderId="21" xfId="3" applyFill="1" applyBorder="1"/>
    <xf numFmtId="0" fontId="4" fillId="4" borderId="22" xfId="3" applyFont="1" applyFill="1" applyBorder="1"/>
    <xf numFmtId="0" fontId="4" fillId="4" borderId="23" xfId="3" applyFont="1" applyFill="1" applyBorder="1"/>
    <xf numFmtId="0" fontId="4" fillId="4" borderId="24" xfId="3" applyFont="1" applyFill="1" applyBorder="1"/>
    <xf numFmtId="0" fontId="3" fillId="3" borderId="2" xfId="3" applyFill="1" applyBorder="1" applyAlignment="1">
      <alignment horizontal="left" vertical="top" wrapText="1"/>
    </xf>
    <xf numFmtId="0" fontId="3" fillId="3" borderId="3" xfId="3" applyFill="1" applyBorder="1" applyAlignment="1">
      <alignment horizontal="left" vertical="top" wrapText="1"/>
    </xf>
    <xf numFmtId="0" fontId="4" fillId="4" borderId="23" xfId="3" applyFont="1" applyFill="1" applyBorder="1" applyAlignment="1">
      <alignment horizontal="right"/>
    </xf>
    <xf numFmtId="0" fontId="3" fillId="3" borderId="8" xfId="3" applyFill="1" applyBorder="1" applyAlignment="1">
      <alignment horizontal="left" vertical="top" wrapText="1"/>
    </xf>
    <xf numFmtId="0" fontId="3" fillId="3" borderId="2" xfId="3" applyFill="1" applyBorder="1"/>
    <xf numFmtId="0" fontId="3" fillId="3" borderId="3" xfId="3" applyFill="1" applyBorder="1"/>
    <xf numFmtId="0" fontId="4" fillId="4" borderId="39" xfId="3" applyFont="1" applyFill="1" applyBorder="1"/>
    <xf numFmtId="0" fontId="3" fillId="3" borderId="7" xfId="3" applyFill="1" applyBorder="1" applyAlignment="1">
      <alignment horizontal="left" vertical="top" wrapText="1"/>
    </xf>
    <xf numFmtId="0" fontId="3" fillId="3" borderId="5" xfId="3" applyFill="1" applyBorder="1" applyAlignment="1">
      <alignment horizontal="left" vertical="top" wrapText="1"/>
    </xf>
    <xf numFmtId="0" fontId="3" fillId="3" borderId="1" xfId="3" applyFill="1" applyBorder="1" applyAlignment="1">
      <alignment horizontal="left" vertical="top" wrapText="1"/>
    </xf>
    <xf numFmtId="169" fontId="4" fillId="4" borderId="25" xfId="3" applyNumberFormat="1" applyFont="1" applyFill="1" applyBorder="1"/>
    <xf numFmtId="0" fontId="4" fillId="4" borderId="22" xfId="3" applyFont="1" applyFill="1" applyBorder="1" applyAlignment="1">
      <alignment horizontal="right"/>
    </xf>
    <xf numFmtId="169" fontId="4" fillId="4" borderId="2" xfId="3" applyNumberFormat="1" applyFont="1" applyFill="1" applyBorder="1"/>
    <xf numFmtId="0" fontId="4" fillId="4" borderId="9" xfId="3" applyFont="1" applyFill="1" applyBorder="1"/>
    <xf numFmtId="169" fontId="4" fillId="4" borderId="28" xfId="3" applyNumberFormat="1" applyFont="1" applyFill="1" applyBorder="1"/>
    <xf numFmtId="0" fontId="4" fillId="4" borderId="9" xfId="0" applyFont="1" applyFill="1" applyBorder="1"/>
    <xf numFmtId="3" fontId="0" fillId="4" borderId="0" xfId="0" applyNumberFormat="1" applyFill="1"/>
    <xf numFmtId="0" fontId="0" fillId="4" borderId="2" xfId="0" applyFill="1" applyBorder="1"/>
    <xf numFmtId="3" fontId="4" fillId="4" borderId="2" xfId="0" applyNumberFormat="1" applyFont="1" applyFill="1" applyBorder="1"/>
    <xf numFmtId="3" fontId="18" fillId="4" borderId="0" xfId="0" applyNumberFormat="1" applyFont="1" applyFill="1"/>
    <xf numFmtId="0" fontId="18" fillId="4" borderId="0" xfId="0" applyFont="1" applyFill="1"/>
    <xf numFmtId="3" fontId="50" fillId="4" borderId="2" xfId="0" applyNumberFormat="1" applyFont="1" applyFill="1" applyBorder="1"/>
    <xf numFmtId="0" fontId="3" fillId="4" borderId="2" xfId="3" applyFill="1" applyBorder="1"/>
    <xf numFmtId="0" fontId="0" fillId="3" borderId="1" xfId="3" applyFont="1" applyFill="1" applyBorder="1"/>
    <xf numFmtId="0" fontId="4" fillId="3" borderId="0" xfId="0" applyFont="1" applyFill="1" applyAlignment="1">
      <alignment horizontal="left" wrapText="1"/>
    </xf>
    <xf numFmtId="0" fontId="11" fillId="3" borderId="0" xfId="0" applyFont="1" applyFill="1" applyAlignment="1">
      <alignment wrapText="1"/>
    </xf>
    <xf numFmtId="0" fontId="0" fillId="3" borderId="0" xfId="0" applyFill="1" applyAlignment="1">
      <alignment wrapText="1"/>
    </xf>
    <xf numFmtId="0" fontId="4" fillId="3" borderId="0" xfId="0" applyFont="1" applyFill="1" applyAlignment="1">
      <alignment wrapText="1"/>
    </xf>
    <xf numFmtId="173" fontId="53" fillId="16" borderId="0" xfId="0" applyNumberFormat="1" applyFont="1" applyFill="1" applyAlignment="1">
      <alignment vertical="center"/>
    </xf>
    <xf numFmtId="173" fontId="53" fillId="16" borderId="40" xfId="0" applyNumberFormat="1" applyFont="1" applyFill="1" applyBorder="1" applyAlignment="1">
      <alignment vertical="center"/>
    </xf>
    <xf numFmtId="0" fontId="53" fillId="16" borderId="41" xfId="0" applyFont="1" applyFill="1" applyBorder="1" applyAlignment="1">
      <alignment horizontal="center" vertical="center" wrapText="1"/>
    </xf>
    <xf numFmtId="0" fontId="53" fillId="16" borderId="42" xfId="0" applyFont="1" applyFill="1" applyBorder="1" applyAlignment="1">
      <alignment horizontal="center" vertical="center" wrapText="1"/>
    </xf>
    <xf numFmtId="0" fontId="0" fillId="16" borderId="40" xfId="0" applyFill="1" applyBorder="1"/>
    <xf numFmtId="0" fontId="53" fillId="16" borderId="41" xfId="0" applyFont="1" applyFill="1" applyBorder="1" applyAlignment="1">
      <alignment vertical="center" wrapText="1"/>
    </xf>
    <xf numFmtId="0" fontId="53" fillId="16" borderId="42" xfId="0" applyFont="1" applyFill="1" applyBorder="1" applyAlignment="1">
      <alignment vertical="center" wrapText="1"/>
    </xf>
    <xf numFmtId="173" fontId="53" fillId="16" borderId="0" xfId="0" applyNumberFormat="1" applyFont="1" applyFill="1" applyAlignment="1">
      <alignment vertical="center" wrapText="1"/>
    </xf>
    <xf numFmtId="174" fontId="54" fillId="16" borderId="0" xfId="9" applyNumberFormat="1" applyFont="1" applyFill="1" applyAlignment="1">
      <alignment horizontal="right"/>
    </xf>
    <xf numFmtId="173" fontId="54" fillId="16" borderId="0" xfId="0" applyNumberFormat="1" applyFont="1" applyFill="1" applyAlignment="1">
      <alignment vertical="center"/>
    </xf>
    <xf numFmtId="174" fontId="0" fillId="3" borderId="0" xfId="0" applyNumberFormat="1" applyFill="1"/>
    <xf numFmtId="173" fontId="0" fillId="16" borderId="0" xfId="0" applyNumberFormat="1" applyFill="1"/>
    <xf numFmtId="175" fontId="54" fillId="16" borderId="0" xfId="9" applyNumberFormat="1" applyFont="1" applyFill="1" applyAlignment="1">
      <alignment horizontal="right"/>
    </xf>
    <xf numFmtId="173" fontId="55" fillId="16" borderId="0" xfId="0" applyNumberFormat="1" applyFont="1" applyFill="1"/>
    <xf numFmtId="174" fontId="0" fillId="16" borderId="0" xfId="0" applyNumberFormat="1" applyFill="1"/>
    <xf numFmtId="173" fontId="53" fillId="16" borderId="40" xfId="0" applyNumberFormat="1" applyFont="1" applyFill="1" applyBorder="1" applyAlignment="1">
      <alignment horizontal="left" vertical="center"/>
    </xf>
    <xf numFmtId="174" fontId="53" fillId="16" borderId="41" xfId="9" applyNumberFormat="1" applyFont="1" applyFill="1" applyBorder="1" applyAlignment="1">
      <alignment horizontal="right"/>
    </xf>
    <xf numFmtId="174" fontId="53" fillId="16" borderId="42" xfId="9" applyNumberFormat="1" applyFont="1" applyFill="1" applyBorder="1" applyAlignment="1">
      <alignment horizontal="right"/>
    </xf>
    <xf numFmtId="169" fontId="0" fillId="3" borderId="0" xfId="0" applyNumberFormat="1" applyFill="1"/>
    <xf numFmtId="0" fontId="53" fillId="16" borderId="0" xfId="0" applyFont="1" applyFill="1" applyAlignment="1">
      <alignment vertical="center"/>
    </xf>
    <xf numFmtId="0" fontId="54" fillId="16" borderId="0" xfId="0" applyFont="1" applyFill="1" applyAlignment="1">
      <alignment horizontal="center"/>
    </xf>
    <xf numFmtId="0" fontId="53" fillId="16" borderId="9" xfId="0" applyFont="1" applyFill="1" applyBorder="1" applyAlignment="1">
      <alignment horizontal="center" vertical="center"/>
    </xf>
    <xf numFmtId="0" fontId="53" fillId="16" borderId="9" xfId="0" applyFont="1" applyFill="1" applyBorder="1" applyAlignment="1">
      <alignment horizontal="center" vertical="center" wrapText="1"/>
    </xf>
    <xf numFmtId="174" fontId="53" fillId="16" borderId="40" xfId="9" applyNumberFormat="1" applyFont="1" applyFill="1" applyBorder="1" applyAlignment="1">
      <alignment horizontal="right"/>
    </xf>
    <xf numFmtId="174" fontId="53" fillId="16" borderId="0" xfId="9" applyNumberFormat="1" applyFont="1" applyFill="1" applyAlignment="1">
      <alignment horizontal="right"/>
    </xf>
    <xf numFmtId="174" fontId="0" fillId="16" borderId="0" xfId="0" applyNumberFormat="1" applyFill="1" applyAlignment="1">
      <alignment horizontal="right"/>
    </xf>
    <xf numFmtId="174" fontId="1" fillId="16" borderId="0" xfId="0" applyNumberFormat="1" applyFont="1" applyFill="1"/>
    <xf numFmtId="174" fontId="56" fillId="16" borderId="0" xfId="9" applyNumberFormat="1" applyFont="1" applyFill="1" applyAlignment="1">
      <alignment horizontal="right"/>
    </xf>
    <xf numFmtId="174" fontId="53" fillId="16" borderId="2" xfId="9" applyNumberFormat="1" applyFont="1" applyFill="1" applyBorder="1" applyAlignment="1">
      <alignment horizontal="right"/>
    </xf>
    <xf numFmtId="174" fontId="57" fillId="16" borderId="2" xfId="9" applyNumberFormat="1" applyFont="1" applyFill="1" applyBorder="1" applyAlignment="1">
      <alignment horizontal="right"/>
    </xf>
    <xf numFmtId="174" fontId="58" fillId="16" borderId="0" xfId="9" applyNumberFormat="1" applyFont="1" applyFill="1" applyAlignment="1">
      <alignment horizontal="right"/>
    </xf>
    <xf numFmtId="0" fontId="4" fillId="16" borderId="9" xfId="0" applyFont="1" applyFill="1" applyBorder="1"/>
    <xf numFmtId="0" fontId="0" fillId="16" borderId="9" xfId="0" applyFill="1" applyBorder="1"/>
    <xf numFmtId="169" fontId="0" fillId="16" borderId="9" xfId="1" applyNumberFormat="1" applyFont="1" applyFill="1" applyBorder="1"/>
    <xf numFmtId="169" fontId="0" fillId="16" borderId="9" xfId="0" applyNumberFormat="1" applyFill="1" applyBorder="1"/>
    <xf numFmtId="0" fontId="12" fillId="14" borderId="0" xfId="0" applyFont="1" applyFill="1" applyAlignment="1">
      <alignment wrapText="1"/>
    </xf>
    <xf numFmtId="0" fontId="12" fillId="14" borderId="31" xfId="0" applyFont="1" applyFill="1" applyBorder="1" applyAlignment="1">
      <alignment wrapText="1"/>
    </xf>
    <xf numFmtId="0" fontId="33" fillId="15" borderId="0" xfId="0" applyFont="1" applyFill="1" applyAlignment="1">
      <alignment horizontal="left"/>
    </xf>
    <xf numFmtId="0" fontId="11" fillId="5" borderId="0" xfId="0" applyFont="1" applyFill="1"/>
    <xf numFmtId="0" fontId="59" fillId="0" borderId="0" xfId="0" applyFont="1"/>
    <xf numFmtId="0" fontId="60" fillId="0" borderId="0" xfId="0" applyFont="1"/>
    <xf numFmtId="0" fontId="59" fillId="0" borderId="7" xfId="0" applyFont="1" applyBorder="1"/>
    <xf numFmtId="0" fontId="61" fillId="0" borderId="0" xfId="0" applyFont="1"/>
    <xf numFmtId="0" fontId="4" fillId="0" borderId="0" xfId="0" applyFont="1"/>
    <xf numFmtId="9" fontId="61" fillId="0" borderId="0" xfId="0" applyNumberFormat="1" applyFont="1"/>
    <xf numFmtId="9" fontId="62" fillId="0" borderId="0" xfId="0" applyNumberFormat="1" applyFont="1"/>
    <xf numFmtId="0" fontId="11" fillId="5" borderId="0" xfId="3" applyFont="1" applyFill="1"/>
    <xf numFmtId="0" fontId="4" fillId="4" borderId="9" xfId="3" applyFont="1" applyFill="1" applyBorder="1" applyAlignment="1">
      <alignment horizontal="center"/>
    </xf>
    <xf numFmtId="0" fontId="3" fillId="4" borderId="9" xfId="3" applyFill="1" applyBorder="1"/>
    <xf numFmtId="9" fontId="3" fillId="4" borderId="9" xfId="3" applyNumberFormat="1" applyFill="1" applyBorder="1"/>
    <xf numFmtId="10" fontId="3" fillId="4" borderId="9" xfId="3" applyNumberFormat="1" applyFill="1" applyBorder="1"/>
    <xf numFmtId="0" fontId="0" fillId="3" borderId="0" xfId="0" applyFill="1" applyAlignment="1">
      <alignment horizontal="left" wrapText="1"/>
    </xf>
    <xf numFmtId="0" fontId="63" fillId="20" borderId="9" xfId="0" applyFont="1" applyFill="1" applyBorder="1"/>
    <xf numFmtId="0" fontId="63" fillId="0" borderId="9" xfId="0" applyFont="1" applyBorder="1"/>
    <xf numFmtId="3" fontId="63" fillId="0" borderId="9" xfId="0" applyNumberFormat="1" applyFont="1" applyBorder="1"/>
    <xf numFmtId="0" fontId="63" fillId="0" borderId="0" xfId="0" applyFont="1"/>
    <xf numFmtId="0" fontId="64" fillId="21" borderId="9" xfId="0" applyFont="1" applyFill="1" applyBorder="1"/>
    <xf numFmtId="0" fontId="64" fillId="21" borderId="9" xfId="0" applyFont="1" applyFill="1" applyBorder="1" applyAlignment="1">
      <alignment horizontal="right"/>
    </xf>
    <xf numFmtId="176" fontId="63" fillId="0" borderId="9" xfId="0" applyNumberFormat="1" applyFont="1" applyBorder="1"/>
    <xf numFmtId="0" fontId="33" fillId="2" borderId="0" xfId="0" applyFont="1" applyFill="1" applyAlignment="1">
      <alignment horizontal="left"/>
    </xf>
    <xf numFmtId="0" fontId="67" fillId="22" borderId="0" xfId="0" applyFont="1" applyFill="1"/>
    <xf numFmtId="0" fontId="16" fillId="22" borderId="0" xfId="0" applyFont="1" applyFill="1"/>
    <xf numFmtId="0" fontId="16" fillId="0" borderId="0" xfId="0" applyFont="1"/>
    <xf numFmtId="0" fontId="12" fillId="11" borderId="9" xfId="0" applyFont="1" applyFill="1" applyBorder="1"/>
    <xf numFmtId="0" fontId="12" fillId="11" borderId="14" xfId="0" applyFont="1" applyFill="1" applyBorder="1"/>
    <xf numFmtId="0" fontId="16" fillId="11" borderId="10" xfId="0" applyFont="1" applyFill="1" applyBorder="1"/>
    <xf numFmtId="9" fontId="16" fillId="11" borderId="8" xfId="0" applyNumberFormat="1" applyFont="1" applyFill="1" applyBorder="1"/>
    <xf numFmtId="0" fontId="12" fillId="0" borderId="0" xfId="0" applyFont="1"/>
    <xf numFmtId="10" fontId="16" fillId="11" borderId="8" xfId="0" applyNumberFormat="1" applyFont="1" applyFill="1" applyBorder="1"/>
    <xf numFmtId="0" fontId="3" fillId="3" borderId="0" xfId="3" applyFill="1"/>
    <xf numFmtId="3" fontId="3" fillId="3" borderId="0" xfId="3" applyNumberFormat="1" applyFill="1"/>
    <xf numFmtId="169" fontId="3" fillId="3" borderId="0" xfId="8" applyNumberFormat="1" applyFill="1"/>
    <xf numFmtId="172" fontId="3" fillId="3" borderId="0" xfId="3" applyNumberFormat="1" applyFill="1"/>
    <xf numFmtId="169" fontId="3" fillId="3" borderId="0" xfId="8" applyNumberFormat="1" applyFont="1" applyFill="1"/>
    <xf numFmtId="177" fontId="3" fillId="3" borderId="0" xfId="8" applyNumberFormat="1" applyFont="1" applyFill="1"/>
    <xf numFmtId="177" fontId="3" fillId="3" borderId="0" xfId="8" applyNumberFormat="1" applyFill="1"/>
    <xf numFmtId="169" fontId="3" fillId="3" borderId="0" xfId="3" applyNumberFormat="1" applyFill="1"/>
    <xf numFmtId="0" fontId="4" fillId="3" borderId="0" xfId="3" applyFont="1" applyFill="1"/>
    <xf numFmtId="175" fontId="3" fillId="3" borderId="0" xfId="3" applyNumberFormat="1" applyFill="1" applyAlignment="1">
      <alignment horizontal="center"/>
    </xf>
    <xf numFmtId="0" fontId="4" fillId="3" borderId="44" xfId="0" applyFont="1" applyFill="1" applyBorder="1"/>
    <xf numFmtId="4" fontId="4" fillId="3" borderId="45" xfId="0" applyNumberFormat="1" applyFont="1" applyFill="1" applyBorder="1"/>
    <xf numFmtId="0" fontId="4" fillId="3" borderId="46" xfId="0" applyFont="1" applyFill="1" applyBorder="1"/>
    <xf numFmtId="0" fontId="4" fillId="3" borderId="47" xfId="0" applyFont="1" applyFill="1" applyBorder="1"/>
    <xf numFmtId="9" fontId="4" fillId="3" borderId="47" xfId="0" applyNumberFormat="1" applyFont="1" applyFill="1" applyBorder="1"/>
    <xf numFmtId="0" fontId="4" fillId="3" borderId="48" xfId="0" applyFont="1" applyFill="1" applyBorder="1"/>
    <xf numFmtId="0" fontId="4" fillId="3" borderId="49" xfId="0" applyFont="1" applyFill="1" applyBorder="1" applyAlignment="1">
      <alignment horizontal="right"/>
    </xf>
    <xf numFmtId="0" fontId="4" fillId="3" borderId="9" xfId="0" applyFont="1" applyFill="1" applyBorder="1"/>
    <xf numFmtId="3" fontId="4" fillId="3" borderId="9" xfId="0" applyNumberFormat="1" applyFont="1" applyFill="1" applyBorder="1"/>
    <xf numFmtId="9" fontId="4" fillId="3" borderId="9" xfId="0" applyNumberFormat="1" applyFont="1" applyFill="1" applyBorder="1"/>
    <xf numFmtId="1" fontId="4" fillId="3" borderId="9" xfId="0" applyNumberFormat="1" applyFont="1" applyFill="1" applyBorder="1"/>
    <xf numFmtId="0" fontId="4" fillId="3" borderId="9" xfId="0" applyFont="1" applyFill="1" applyBorder="1" applyAlignment="1">
      <alignment horizontal="right"/>
    </xf>
    <xf numFmtId="0" fontId="4" fillId="5" borderId="0" xfId="3" applyFont="1" applyFill="1"/>
    <xf numFmtId="10" fontId="0" fillId="5" borderId="0" xfId="0" applyNumberFormat="1" applyFill="1"/>
    <xf numFmtId="0" fontId="4" fillId="0" borderId="7" xfId="3" applyFont="1" applyBorder="1" applyAlignment="1">
      <alignment horizontal="center"/>
    </xf>
    <xf numFmtId="1" fontId="68" fillId="19" borderId="9" xfId="1" applyNumberFormat="1" applyFont="1" applyFill="1" applyBorder="1" applyAlignment="1">
      <alignment horizontal="center"/>
    </xf>
    <xf numFmtId="10" fontId="3" fillId="0" borderId="0" xfId="3" applyNumberFormat="1" applyAlignment="1">
      <alignment horizontal="center"/>
    </xf>
    <xf numFmtId="0" fontId="68" fillId="0" borderId="0" xfId="3" applyFont="1" applyAlignment="1">
      <alignment horizontal="center"/>
    </xf>
    <xf numFmtId="169" fontId="68" fillId="0" borderId="9" xfId="1" applyNumberFormat="1" applyFont="1" applyBorder="1" applyAlignment="1">
      <alignment horizontal="left"/>
    </xf>
    <xf numFmtId="166" fontId="0" fillId="5" borderId="0" xfId="1" applyFont="1" applyFill="1" applyProtection="1"/>
    <xf numFmtId="0" fontId="63" fillId="20" borderId="9" xfId="0" applyFont="1" applyFill="1" applyBorder="1" applyAlignment="1">
      <alignment horizontal="center"/>
    </xf>
    <xf numFmtId="9" fontId="63" fillId="0" borderId="9" xfId="0" applyNumberFormat="1" applyFont="1" applyBorder="1"/>
    <xf numFmtId="0" fontId="63" fillId="0" borderId="4" xfId="0" applyFont="1" applyBorder="1"/>
    <xf numFmtId="9" fontId="63" fillId="0" borderId="0" xfId="0" applyNumberFormat="1" applyFont="1"/>
    <xf numFmtId="0" fontId="50" fillId="3" borderId="0" xfId="0" applyFont="1" applyFill="1"/>
    <xf numFmtId="0" fontId="69" fillId="3" borderId="0" xfId="0" applyFont="1" applyFill="1"/>
    <xf numFmtId="0" fontId="70" fillId="3" borderId="0" xfId="0" applyFont="1" applyFill="1"/>
    <xf numFmtId="0" fontId="68" fillId="3" borderId="21" xfId="0" applyFont="1" applyFill="1" applyBorder="1"/>
    <xf numFmtId="0" fontId="68" fillId="3" borderId="22" xfId="0" applyFont="1" applyFill="1" applyBorder="1"/>
    <xf numFmtId="0" fontId="0" fillId="3" borderId="22" xfId="0" applyFill="1" applyBorder="1"/>
    <xf numFmtId="0" fontId="0" fillId="3" borderId="23" xfId="0" applyFill="1" applyBorder="1"/>
    <xf numFmtId="0" fontId="68" fillId="3" borderId="24" xfId="0" applyFont="1" applyFill="1" applyBorder="1"/>
    <xf numFmtId="0" fontId="68" fillId="3" borderId="0" xfId="0" applyFont="1" applyFill="1"/>
    <xf numFmtId="0" fontId="0" fillId="3" borderId="25" xfId="0" applyFill="1" applyBorder="1"/>
    <xf numFmtId="0" fontId="68" fillId="3" borderId="26" xfId="0" applyFont="1" applyFill="1" applyBorder="1"/>
    <xf numFmtId="0" fontId="68" fillId="3" borderId="27" xfId="0" applyFont="1" applyFill="1" applyBorder="1"/>
    <xf numFmtId="0" fontId="0" fillId="3" borderId="27" xfId="0" applyFill="1" applyBorder="1"/>
    <xf numFmtId="0" fontId="0" fillId="3" borderId="28" xfId="0" applyFill="1" applyBorder="1"/>
    <xf numFmtId="0" fontId="71" fillId="3" borderId="0" xfId="0" applyFont="1" applyFill="1"/>
    <xf numFmtId="0" fontId="4" fillId="23" borderId="9" xfId="0" applyFont="1" applyFill="1" applyBorder="1" applyAlignment="1">
      <alignment horizontal="center" wrapText="1"/>
    </xf>
    <xf numFmtId="0" fontId="0" fillId="23" borderId="9" xfId="0" applyFill="1" applyBorder="1" applyAlignment="1">
      <alignment horizontal="center" wrapText="1"/>
    </xf>
    <xf numFmtId="0" fontId="4" fillId="5" borderId="0" xfId="0" applyFont="1" applyFill="1" applyAlignment="1">
      <alignment horizontal="center" wrapText="1"/>
    </xf>
    <xf numFmtId="0" fontId="4" fillId="23" borderId="12" xfId="0" applyFont="1" applyFill="1" applyBorder="1" applyAlignment="1">
      <alignment horizontal="center" wrapText="1"/>
    </xf>
    <xf numFmtId="169" fontId="4" fillId="23" borderId="12" xfId="1" applyNumberFormat="1" applyFont="1" applyFill="1" applyBorder="1" applyAlignment="1" applyProtection="1">
      <alignment horizontal="center" wrapText="1"/>
    </xf>
    <xf numFmtId="9" fontId="0" fillId="23" borderId="12" xfId="0" applyNumberFormat="1" applyFill="1" applyBorder="1" applyAlignment="1">
      <alignment horizontal="center"/>
    </xf>
    <xf numFmtId="9" fontId="4" fillId="23" borderId="12" xfId="0" applyNumberFormat="1" applyFont="1" applyFill="1" applyBorder="1" applyAlignment="1">
      <alignment horizontal="center" wrapText="1"/>
    </xf>
    <xf numFmtId="0" fontId="63" fillId="0" borderId="0" xfId="3" applyFont="1"/>
    <xf numFmtId="0" fontId="64" fillId="21" borderId="9" xfId="3" applyFont="1" applyFill="1" applyBorder="1"/>
    <xf numFmtId="0" fontId="63" fillId="0" borderId="9" xfId="3" applyFont="1" applyBorder="1"/>
    <xf numFmtId="176" fontId="63" fillId="0" borderId="9" xfId="3" applyNumberFormat="1" applyFont="1" applyBorder="1"/>
    <xf numFmtId="9" fontId="63" fillId="0" borderId="9" xfId="3" applyNumberFormat="1" applyFont="1" applyBorder="1"/>
    <xf numFmtId="0" fontId="0" fillId="24" borderId="4" xfId="0" applyFill="1" applyBorder="1"/>
    <xf numFmtId="176" fontId="0" fillId="24" borderId="0" xfId="0" applyNumberFormat="1" applyFill="1" applyAlignment="1">
      <alignment horizontal="right"/>
    </xf>
    <xf numFmtId="0" fontId="0" fillId="24" borderId="0" xfId="0" applyFill="1"/>
    <xf numFmtId="0" fontId="0" fillId="24" borderId="5" xfId="0" applyFill="1" applyBorder="1"/>
    <xf numFmtId="176" fontId="0" fillId="24" borderId="0" xfId="0" applyNumberFormat="1" applyFill="1"/>
    <xf numFmtId="176" fontId="32" fillId="24" borderId="0" xfId="0" applyNumberFormat="1" applyFont="1" applyFill="1"/>
    <xf numFmtId="9" fontId="0" fillId="24" borderId="0" xfId="0" applyNumberFormat="1" applyFill="1"/>
    <xf numFmtId="9" fontId="0" fillId="24" borderId="0" xfId="2" applyFont="1" applyFill="1"/>
    <xf numFmtId="0" fontId="0" fillId="24" borderId="6" xfId="0" applyFill="1" applyBorder="1"/>
    <xf numFmtId="0" fontId="0" fillId="24" borderId="7" xfId="0" applyFill="1" applyBorder="1"/>
    <xf numFmtId="0" fontId="0" fillId="24" borderId="8" xfId="0" applyFill="1" applyBorder="1"/>
    <xf numFmtId="0" fontId="0" fillId="24" borderId="1" xfId="0" applyFill="1" applyBorder="1"/>
    <xf numFmtId="0" fontId="0" fillId="24" borderId="2" xfId="0" applyFill="1" applyBorder="1"/>
    <xf numFmtId="0" fontId="0" fillId="24" borderId="3" xfId="0" applyFill="1" applyBorder="1"/>
    <xf numFmtId="4" fontId="0" fillId="24" borderId="0" xfId="0" applyNumberFormat="1" applyFill="1" applyAlignment="1">
      <alignment horizontal="left"/>
    </xf>
    <xf numFmtId="0" fontId="4" fillId="24" borderId="9" xfId="0" applyFont="1" applyFill="1" applyBorder="1" applyAlignment="1">
      <alignment horizontal="center"/>
    </xf>
    <xf numFmtId="0" fontId="0" fillId="24" borderId="6" xfId="0" applyFill="1" applyBorder="1" applyAlignment="1">
      <alignment horizontal="left"/>
    </xf>
    <xf numFmtId="4" fontId="0" fillId="24" borderId="9" xfId="0" applyNumberFormat="1" applyFill="1" applyBorder="1" applyAlignment="1">
      <alignment horizontal="right"/>
    </xf>
    <xf numFmtId="0" fontId="2" fillId="3" borderId="9" xfId="0" applyFont="1" applyFill="1" applyBorder="1"/>
    <xf numFmtId="0" fontId="2" fillId="3" borderId="9" xfId="0" applyFont="1" applyFill="1" applyBorder="1" applyAlignment="1">
      <alignment horizontal="center"/>
    </xf>
    <xf numFmtId="9" fontId="2" fillId="3" borderId="9" xfId="0" applyNumberFormat="1" applyFont="1" applyFill="1" applyBorder="1"/>
    <xf numFmtId="3" fontId="2" fillId="3" borderId="9" xfId="0" applyNumberFormat="1" applyFont="1" applyFill="1" applyBorder="1"/>
    <xf numFmtId="0" fontId="12" fillId="14" borderId="4" xfId="0" applyFont="1" applyFill="1" applyBorder="1"/>
    <xf numFmtId="0" fontId="3" fillId="3" borderId="0" xfId="0" applyFont="1" applyFill="1" applyAlignment="1">
      <alignment vertical="top" wrapText="1"/>
    </xf>
    <xf numFmtId="0" fontId="50" fillId="3" borderId="1" xfId="0" applyFont="1" applyFill="1" applyBorder="1" applyAlignment="1">
      <alignment vertical="top" wrapText="1"/>
    </xf>
    <xf numFmtId="0" fontId="50" fillId="3" borderId="2" xfId="0" applyFont="1" applyFill="1" applyBorder="1" applyAlignment="1">
      <alignment vertical="top" wrapText="1"/>
    </xf>
    <xf numFmtId="174" fontId="45" fillId="16" borderId="0" xfId="9" applyNumberFormat="1" applyFont="1" applyFill="1" applyAlignment="1">
      <alignment horizontal="right"/>
    </xf>
    <xf numFmtId="173" fontId="45" fillId="16" borderId="0" xfId="0" applyNumberFormat="1" applyFont="1" applyFill="1" applyAlignment="1">
      <alignment vertical="center"/>
    </xf>
    <xf numFmtId="175" fontId="45" fillId="16" borderId="0" xfId="9" applyNumberFormat="1" applyFont="1" applyFill="1" applyAlignment="1">
      <alignment horizontal="right"/>
    </xf>
    <xf numFmtId="0" fontId="45" fillId="16" borderId="0" xfId="0" applyFont="1" applyFill="1" applyAlignment="1">
      <alignment horizontal="center"/>
    </xf>
    <xf numFmtId="0" fontId="3" fillId="3" borderId="0" xfId="0" applyFont="1" applyFill="1"/>
    <xf numFmtId="0" fontId="3" fillId="0" borderId="46" xfId="0" applyFont="1" applyBorder="1"/>
    <xf numFmtId="176" fontId="3" fillId="0" borderId="9" xfId="0" applyNumberFormat="1" applyFont="1" applyBorder="1"/>
    <xf numFmtId="0" fontId="3" fillId="0" borderId="9" xfId="0" applyFont="1" applyBorder="1"/>
    <xf numFmtId="9" fontId="3" fillId="0" borderId="9" xfId="0" applyNumberFormat="1" applyFont="1" applyBorder="1"/>
    <xf numFmtId="0" fontId="3" fillId="0" borderId="48" xfId="0" applyFont="1" applyBorder="1"/>
    <xf numFmtId="10" fontId="3" fillId="0" borderId="18" xfId="0" applyNumberFormat="1" applyFont="1" applyBorder="1"/>
    <xf numFmtId="0" fontId="42" fillId="0" borderId="44" xfId="0" applyFont="1" applyBorder="1"/>
    <xf numFmtId="9" fontId="42" fillId="0" borderId="45" xfId="0" applyNumberFormat="1" applyFont="1" applyBorder="1"/>
    <xf numFmtId="0" fontId="42" fillId="0" borderId="46" xfId="0" applyFont="1" applyBorder="1"/>
    <xf numFmtId="9" fontId="42" fillId="0" borderId="47" xfId="0" applyNumberFormat="1" applyFont="1" applyBorder="1"/>
    <xf numFmtId="176" fontId="42" fillId="0" borderId="47" xfId="0" applyNumberFormat="1" applyFont="1" applyBorder="1"/>
    <xf numFmtId="0" fontId="42" fillId="0" borderId="46" xfId="0" applyFont="1" applyBorder="1" applyAlignment="1">
      <alignment wrapText="1"/>
    </xf>
    <xf numFmtId="0" fontId="42" fillId="0" borderId="51" xfId="0" applyFont="1" applyBorder="1" applyAlignment="1">
      <alignment wrapText="1"/>
    </xf>
    <xf numFmtId="176" fontId="42" fillId="0" borderId="52" xfId="0" applyNumberFormat="1" applyFont="1" applyBorder="1"/>
    <xf numFmtId="167" fontId="0" fillId="16" borderId="0" xfId="0" applyNumberFormat="1" applyFill="1"/>
    <xf numFmtId="0" fontId="40" fillId="16" borderId="0" xfId="0" applyFont="1" applyFill="1"/>
    <xf numFmtId="16" fontId="0" fillId="3" borderId="0" xfId="0" applyNumberFormat="1" applyFill="1"/>
    <xf numFmtId="0" fontId="45" fillId="16" borderId="1" xfId="0" applyFont="1" applyFill="1" applyBorder="1" applyAlignment="1">
      <alignment vertical="center"/>
    </xf>
    <xf numFmtId="0" fontId="53" fillId="16" borderId="2" xfId="0" applyFont="1" applyFill="1" applyBorder="1" applyAlignment="1">
      <alignment vertical="center"/>
    </xf>
    <xf numFmtId="0" fontId="53" fillId="16" borderId="3" xfId="0" applyFont="1" applyFill="1" applyBorder="1" applyAlignment="1">
      <alignment vertical="center"/>
    </xf>
    <xf numFmtId="167" fontId="0" fillId="16" borderId="12" xfId="0" applyNumberFormat="1" applyFill="1" applyBorder="1"/>
    <xf numFmtId="0" fontId="45" fillId="16" borderId="4" xfId="0" applyFont="1" applyFill="1" applyBorder="1" applyAlignment="1">
      <alignment vertical="center"/>
    </xf>
    <xf numFmtId="0" fontId="0" fillId="3" borderId="5" xfId="0" applyFill="1" applyBorder="1"/>
    <xf numFmtId="167" fontId="0" fillId="3" borderId="11" xfId="0" applyNumberFormat="1" applyFill="1" applyBorder="1"/>
    <xf numFmtId="0" fontId="53" fillId="16" borderId="5" xfId="0" applyFont="1" applyFill="1" applyBorder="1" applyAlignment="1">
      <alignment vertical="center"/>
    </xf>
    <xf numFmtId="167" fontId="0" fillId="16" borderId="11" xfId="0" applyNumberFormat="1" applyFill="1" applyBorder="1"/>
    <xf numFmtId="0" fontId="0" fillId="3" borderId="4" xfId="0" applyFill="1" applyBorder="1"/>
    <xf numFmtId="0" fontId="53" fillId="16" borderId="4" xfId="0" applyFont="1" applyFill="1" applyBorder="1" applyAlignment="1">
      <alignment vertical="center"/>
    </xf>
    <xf numFmtId="0" fontId="4" fillId="3" borderId="4" xfId="0" applyFont="1" applyFill="1" applyBorder="1"/>
    <xf numFmtId="167" fontId="4" fillId="3" borderId="11" xfId="0" applyNumberFormat="1" applyFont="1" applyFill="1" applyBorder="1"/>
    <xf numFmtId="0" fontId="53" fillId="16" borderId="6" xfId="0" applyFont="1" applyFill="1" applyBorder="1" applyAlignment="1">
      <alignment vertical="center"/>
    </xf>
    <xf numFmtId="0" fontId="53" fillId="16" borderId="7" xfId="0" applyFont="1" applyFill="1" applyBorder="1" applyAlignment="1">
      <alignment vertical="center"/>
    </xf>
    <xf numFmtId="0" fontId="53" fillId="16" borderId="8" xfId="0" applyFont="1" applyFill="1" applyBorder="1" applyAlignment="1">
      <alignment vertical="center"/>
    </xf>
    <xf numFmtId="167" fontId="4" fillId="16" borderId="9" xfId="0" applyNumberFormat="1" applyFont="1" applyFill="1" applyBorder="1"/>
    <xf numFmtId="167" fontId="0" fillId="3" borderId="0" xfId="0" applyNumberFormat="1" applyFill="1"/>
    <xf numFmtId="173" fontId="53" fillId="5" borderId="0" xfId="0" applyNumberFormat="1" applyFont="1" applyFill="1" applyAlignment="1">
      <alignment vertical="center"/>
    </xf>
    <xf numFmtId="0" fontId="0" fillId="16" borderId="2" xfId="0" applyFill="1" applyBorder="1"/>
    <xf numFmtId="167" fontId="0" fillId="16" borderId="2" xfId="0" applyNumberFormat="1" applyFill="1" applyBorder="1"/>
    <xf numFmtId="167" fontId="0" fillId="16" borderId="3" xfId="0" applyNumberFormat="1" applyFill="1" applyBorder="1"/>
    <xf numFmtId="167" fontId="0" fillId="3" borderId="5" xfId="0" applyNumberFormat="1" applyFill="1" applyBorder="1"/>
    <xf numFmtId="167" fontId="4" fillId="16" borderId="5" xfId="0" applyNumberFormat="1" applyFont="1" applyFill="1" applyBorder="1"/>
    <xf numFmtId="167" fontId="4" fillId="3" borderId="5" xfId="0" applyNumberFormat="1" applyFont="1" applyFill="1" applyBorder="1"/>
    <xf numFmtId="0" fontId="4" fillId="3" borderId="5" xfId="0" applyFont="1" applyFill="1" applyBorder="1"/>
    <xf numFmtId="0" fontId="4" fillId="16" borderId="5" xfId="0" applyFont="1" applyFill="1" applyBorder="1"/>
    <xf numFmtId="0" fontId="4" fillId="3" borderId="6" xfId="0" applyFont="1" applyFill="1" applyBorder="1"/>
    <xf numFmtId="167" fontId="4" fillId="3" borderId="14" xfId="0" applyNumberFormat="1" applyFont="1" applyFill="1" applyBorder="1"/>
    <xf numFmtId="169" fontId="4" fillId="3" borderId="0" xfId="0" applyNumberFormat="1" applyFont="1" applyFill="1"/>
    <xf numFmtId="0" fontId="4" fillId="16" borderId="0" xfId="0" applyFont="1" applyFill="1"/>
    <xf numFmtId="0" fontId="2" fillId="9" borderId="44" xfId="0" applyFont="1" applyFill="1" applyBorder="1"/>
    <xf numFmtId="0" fontId="0" fillId="9" borderId="45" xfId="0" applyFill="1" applyBorder="1"/>
    <xf numFmtId="0" fontId="0" fillId="0" borderId="46" xfId="0" applyBorder="1"/>
    <xf numFmtId="9" fontId="0" fillId="0" borderId="47" xfId="0" applyNumberFormat="1" applyBorder="1"/>
    <xf numFmtId="169" fontId="0" fillId="0" borderId="47" xfId="1" applyNumberFormat="1" applyFont="1" applyBorder="1"/>
    <xf numFmtId="9" fontId="0" fillId="0" borderId="47" xfId="6" applyFont="1" applyBorder="1"/>
    <xf numFmtId="0" fontId="0" fillId="0" borderId="51" xfId="0" applyBorder="1"/>
    <xf numFmtId="1" fontId="0" fillId="0" borderId="52" xfId="0" applyNumberFormat="1" applyBorder="1"/>
    <xf numFmtId="0" fontId="0" fillId="0" borderId="48" xfId="0" applyBorder="1"/>
    <xf numFmtId="9" fontId="0" fillId="0" borderId="49" xfId="6" applyFont="1" applyBorder="1"/>
    <xf numFmtId="0" fontId="40" fillId="9" borderId="40" xfId="0" applyFont="1" applyFill="1" applyBorder="1"/>
    <xf numFmtId="0" fontId="40" fillId="9" borderId="53" xfId="0" applyFont="1" applyFill="1" applyBorder="1"/>
    <xf numFmtId="0" fontId="40" fillId="9" borderId="54" xfId="0" applyFont="1" applyFill="1" applyBorder="1"/>
    <xf numFmtId="0" fontId="40" fillId="9" borderId="55" xfId="0" applyFont="1" applyFill="1" applyBorder="1"/>
    <xf numFmtId="0" fontId="13" fillId="3" borderId="0" xfId="0" applyFont="1" applyFill="1" applyAlignment="1">
      <alignment horizontal="left" vertical="top" wrapText="1"/>
    </xf>
    <xf numFmtId="0" fontId="13" fillId="3" borderId="5" xfId="0" applyFont="1" applyFill="1" applyBorder="1" applyAlignment="1">
      <alignment horizontal="left" vertical="top" wrapText="1"/>
    </xf>
    <xf numFmtId="0" fontId="4" fillId="0" borderId="56" xfId="0" applyFont="1" applyBorder="1"/>
    <xf numFmtId="9" fontId="4" fillId="0" borderId="57" xfId="0" applyNumberFormat="1" applyFont="1" applyBorder="1"/>
    <xf numFmtId="9" fontId="4" fillId="0" borderId="10" xfId="0" applyNumberFormat="1" applyFont="1" applyBorder="1" applyAlignment="1">
      <alignment horizontal="right"/>
    </xf>
    <xf numFmtId="9" fontId="4" fillId="0" borderId="58" xfId="0" applyNumberFormat="1" applyFont="1" applyBorder="1"/>
    <xf numFmtId="0" fontId="4" fillId="0" borderId="59" xfId="0" applyFont="1" applyBorder="1"/>
    <xf numFmtId="0" fontId="50" fillId="0" borderId="46" xfId="0" applyFont="1" applyBorder="1" applyAlignment="1">
      <alignment horizontal="right" vertical="center"/>
    </xf>
    <xf numFmtId="169" fontId="4" fillId="0" borderId="9" xfId="1" applyNumberFormat="1" applyFont="1" applyBorder="1"/>
    <xf numFmtId="3" fontId="50" fillId="0" borderId="47" xfId="0" applyNumberFormat="1" applyFont="1" applyBorder="1" applyAlignment="1">
      <alignment horizontal="right"/>
    </xf>
    <xf numFmtId="0" fontId="4" fillId="0" borderId="46" xfId="0" applyFont="1" applyBorder="1"/>
    <xf numFmtId="0" fontId="4" fillId="0" borderId="9" xfId="0" applyFont="1" applyBorder="1"/>
    <xf numFmtId="0" fontId="4" fillId="0" borderId="47" xfId="0" applyFont="1" applyBorder="1"/>
    <xf numFmtId="0" fontId="50" fillId="0" borderId="46" xfId="0" applyFont="1" applyBorder="1" applyAlignment="1">
      <alignment horizontal="right"/>
    </xf>
    <xf numFmtId="9" fontId="4" fillId="0" borderId="9" xfId="0" applyNumberFormat="1" applyFont="1" applyBorder="1"/>
    <xf numFmtId="9" fontId="4" fillId="0" borderId="47" xfId="0" applyNumberFormat="1" applyFont="1" applyBorder="1" applyAlignment="1">
      <alignment horizontal="right"/>
    </xf>
    <xf numFmtId="0" fontId="4" fillId="0" borderId="60" xfId="0" applyFont="1" applyBorder="1"/>
    <xf numFmtId="169" fontId="4" fillId="0" borderId="48" xfId="1" applyNumberFormat="1" applyFont="1" applyBorder="1"/>
    <xf numFmtId="169" fontId="4" fillId="0" borderId="18" xfId="1" applyNumberFormat="1" applyFont="1" applyBorder="1"/>
    <xf numFmtId="169" fontId="4" fillId="0" borderId="49" xfId="1" applyNumberFormat="1" applyFont="1" applyBorder="1"/>
    <xf numFmtId="0" fontId="71" fillId="0" borderId="29" xfId="0" applyFont="1" applyBorder="1"/>
    <xf numFmtId="0" fontId="0" fillId="0" borderId="24" xfId="0" applyBorder="1"/>
    <xf numFmtId="0" fontId="28" fillId="17" borderId="0" xfId="0" applyFont="1" applyFill="1"/>
    <xf numFmtId="0" fontId="64" fillId="3" borderId="2" xfId="0" applyFont="1" applyFill="1" applyBorder="1" applyAlignment="1">
      <alignment horizontal="left" vertical="top" wrapText="1"/>
    </xf>
    <xf numFmtId="0" fontId="28" fillId="25" borderId="0" xfId="0" applyFont="1" applyFill="1"/>
    <xf numFmtId="0" fontId="12" fillId="25" borderId="0" xfId="0" applyFont="1" applyFill="1"/>
    <xf numFmtId="0" fontId="64" fillId="3" borderId="0" xfId="0" applyFont="1" applyFill="1" applyAlignment="1">
      <alignment horizontal="left" vertical="top" wrapText="1"/>
    </xf>
    <xf numFmtId="0" fontId="12" fillId="25" borderId="2" xfId="0" applyFont="1" applyFill="1" applyBorder="1" applyAlignment="1">
      <alignment wrapText="1"/>
    </xf>
    <xf numFmtId="0" fontId="28" fillId="25" borderId="2" xfId="0" applyFont="1" applyFill="1" applyBorder="1"/>
    <xf numFmtId="0" fontId="46" fillId="25" borderId="0" xfId="0" applyFont="1" applyFill="1"/>
    <xf numFmtId="0" fontId="74" fillId="25" borderId="0" xfId="0" applyFont="1" applyFill="1"/>
    <xf numFmtId="0" fontId="41" fillId="25" borderId="2" xfId="0" applyFont="1" applyFill="1" applyBorder="1"/>
    <xf numFmtId="0" fontId="12" fillId="25" borderId="2" xfId="0" applyFont="1" applyFill="1" applyBorder="1"/>
    <xf numFmtId="0" fontId="73" fillId="25" borderId="0" xfId="0" applyFont="1" applyFill="1"/>
    <xf numFmtId="0" fontId="64" fillId="3" borderId="4" xfId="0" applyFont="1" applyFill="1" applyBorder="1" applyAlignment="1">
      <alignment horizontal="left" vertical="top" wrapText="1"/>
    </xf>
    <xf numFmtId="0" fontId="64" fillId="3" borderId="0" xfId="0" applyFont="1" applyFill="1" applyAlignment="1">
      <alignment vertical="top" wrapText="1"/>
    </xf>
    <xf numFmtId="0" fontId="19" fillId="3" borderId="2" xfId="0" applyFont="1" applyFill="1" applyBorder="1" applyAlignment="1">
      <alignment horizontal="left" vertical="top" wrapText="1"/>
    </xf>
    <xf numFmtId="0" fontId="19" fillId="3" borderId="0" xfId="0" applyFont="1" applyFill="1" applyAlignment="1">
      <alignment horizontal="left" vertical="top" wrapText="1"/>
    </xf>
    <xf numFmtId="0" fontId="50" fillId="3" borderId="12" xfId="0" applyFont="1" applyFill="1" applyBorder="1" applyAlignment="1">
      <alignment horizontal="center" wrapText="1"/>
    </xf>
    <xf numFmtId="0" fontId="13" fillId="3" borderId="29" xfId="0" applyFont="1" applyFill="1" applyBorder="1" applyAlignment="1">
      <alignment horizontal="center" vertical="center" wrapText="1"/>
    </xf>
    <xf numFmtId="0" fontId="50" fillId="3" borderId="11" xfId="0" applyFont="1" applyFill="1" applyBorder="1" applyAlignment="1">
      <alignment horizontal="center" wrapText="1"/>
    </xf>
    <xf numFmtId="0" fontId="40" fillId="3" borderId="0" xfId="0" applyFont="1" applyFill="1" applyAlignment="1">
      <alignment wrapText="1"/>
    </xf>
    <xf numFmtId="173" fontId="35" fillId="16" borderId="0" xfId="0" applyNumberFormat="1" applyFont="1" applyFill="1" applyAlignment="1">
      <alignment vertical="center"/>
    </xf>
    <xf numFmtId="0" fontId="68" fillId="16" borderId="0" xfId="0" applyFont="1" applyFill="1"/>
    <xf numFmtId="174" fontId="75" fillId="16" borderId="0" xfId="9" applyNumberFormat="1" applyFont="1" applyFill="1" applyAlignment="1">
      <alignment horizontal="right"/>
    </xf>
    <xf numFmtId="167" fontId="68" fillId="16" borderId="0" xfId="0" applyNumberFormat="1" applyFont="1" applyFill="1"/>
    <xf numFmtId="0" fontId="68" fillId="5" borderId="0" xfId="0" applyFont="1" applyFill="1"/>
    <xf numFmtId="0" fontId="71" fillId="3" borderId="12" xfId="0" applyFont="1" applyFill="1" applyBorder="1" applyAlignment="1">
      <alignment horizontal="center" wrapText="1"/>
    </xf>
    <xf numFmtId="0" fontId="71" fillId="3" borderId="11" xfId="0" applyFont="1" applyFill="1" applyBorder="1" applyAlignment="1">
      <alignment horizontal="center" wrapText="1"/>
    </xf>
    <xf numFmtId="0" fontId="3" fillId="5" borderId="0" xfId="0" applyFont="1" applyFill="1"/>
    <xf numFmtId="0" fontId="68" fillId="3" borderId="0" xfId="0" applyFont="1" applyFill="1" applyAlignment="1">
      <alignment wrapText="1"/>
    </xf>
    <xf numFmtId="0" fontId="40" fillId="3" borderId="0" xfId="0" applyFont="1" applyFill="1" applyAlignment="1">
      <alignment horizontal="left" wrapText="1"/>
    </xf>
    <xf numFmtId="0" fontId="35" fillId="16" borderId="0" xfId="0" applyFont="1" applyFill="1" applyAlignment="1">
      <alignment vertical="center"/>
    </xf>
    <xf numFmtId="16" fontId="68" fillId="3" borderId="0" xfId="0" applyNumberFormat="1" applyFont="1" applyFill="1"/>
    <xf numFmtId="0" fontId="75" fillId="16" borderId="1" xfId="0" applyFont="1" applyFill="1" applyBorder="1" applyAlignment="1">
      <alignment vertical="center"/>
    </xf>
    <xf numFmtId="0" fontId="35" fillId="16" borderId="2" xfId="0" applyFont="1" applyFill="1" applyBorder="1" applyAlignment="1">
      <alignment vertical="center"/>
    </xf>
    <xf numFmtId="0" fontId="35" fillId="16" borderId="3" xfId="0" applyFont="1" applyFill="1" applyBorder="1" applyAlignment="1">
      <alignment vertical="center"/>
    </xf>
    <xf numFmtId="167" fontId="68" fillId="16" borderId="12" xfId="0" applyNumberFormat="1" applyFont="1" applyFill="1" applyBorder="1"/>
    <xf numFmtId="0" fontId="75" fillId="16" borderId="4" xfId="0" applyFont="1" applyFill="1" applyBorder="1" applyAlignment="1">
      <alignment vertical="center"/>
    </xf>
    <xf numFmtId="0" fontId="68" fillId="3" borderId="5" xfId="0" applyFont="1" applyFill="1" applyBorder="1"/>
    <xf numFmtId="167" fontId="68" fillId="3" borderId="11" xfId="0" applyNumberFormat="1" applyFont="1" applyFill="1" applyBorder="1"/>
    <xf numFmtId="0" fontId="35" fillId="16" borderId="5" xfId="0" applyFont="1" applyFill="1" applyBorder="1" applyAlignment="1">
      <alignment vertical="center"/>
    </xf>
    <xf numFmtId="167" fontId="68" fillId="16" borderId="11" xfId="0" applyNumberFormat="1" applyFont="1" applyFill="1" applyBorder="1"/>
    <xf numFmtId="0" fontId="68" fillId="3" borderId="4" xfId="0" applyFont="1" applyFill="1" applyBorder="1"/>
    <xf numFmtId="0" fontId="35" fillId="16" borderId="4" xfId="0" applyFont="1" applyFill="1" applyBorder="1" applyAlignment="1">
      <alignment vertical="center"/>
    </xf>
    <xf numFmtId="0" fontId="40" fillId="3" borderId="4" xfId="0" applyFont="1" applyFill="1" applyBorder="1"/>
    <xf numFmtId="167" fontId="40" fillId="3" borderId="11" xfId="0" applyNumberFormat="1" applyFont="1" applyFill="1" applyBorder="1"/>
    <xf numFmtId="0" fontId="35" fillId="16" borderId="6" xfId="0" applyFont="1" applyFill="1" applyBorder="1" applyAlignment="1">
      <alignment vertical="center"/>
    </xf>
    <xf numFmtId="0" fontId="35" fillId="16" borderId="7" xfId="0" applyFont="1" applyFill="1" applyBorder="1" applyAlignment="1">
      <alignment vertical="center"/>
    </xf>
    <xf numFmtId="0" fontId="35" fillId="16" borderId="8" xfId="0" applyFont="1" applyFill="1" applyBorder="1" applyAlignment="1">
      <alignment vertical="center"/>
    </xf>
    <xf numFmtId="167" fontId="40" fillId="16" borderId="9" xfId="0" applyNumberFormat="1" applyFont="1" applyFill="1" applyBorder="1"/>
    <xf numFmtId="169" fontId="68" fillId="3" borderId="0" xfId="0" applyNumberFormat="1" applyFont="1" applyFill="1"/>
    <xf numFmtId="0" fontId="75" fillId="16" borderId="1" xfId="0" applyFont="1" applyFill="1" applyBorder="1" applyAlignment="1">
      <alignment horizontal="right" vertical="center"/>
    </xf>
    <xf numFmtId="0" fontId="68" fillId="16" borderId="2" xfId="0" applyFont="1" applyFill="1" applyBorder="1"/>
    <xf numFmtId="167" fontId="68" fillId="16" borderId="2" xfId="0" applyNumberFormat="1" applyFont="1" applyFill="1" applyBorder="1"/>
    <xf numFmtId="167" fontId="68" fillId="16" borderId="3" xfId="0" applyNumberFormat="1" applyFont="1" applyFill="1" applyBorder="1"/>
    <xf numFmtId="0" fontId="68" fillId="3" borderId="4" xfId="0" applyFont="1" applyFill="1" applyBorder="1" applyAlignment="1">
      <alignment horizontal="right"/>
    </xf>
    <xf numFmtId="167" fontId="68" fillId="3" borderId="0" xfId="0" applyNumberFormat="1" applyFont="1" applyFill="1"/>
    <xf numFmtId="167" fontId="68" fillId="3" borderId="5" xfId="0" applyNumberFormat="1" applyFont="1" applyFill="1" applyBorder="1"/>
    <xf numFmtId="0" fontId="35" fillId="16" borderId="4" xfId="0" applyFont="1" applyFill="1" applyBorder="1" applyAlignment="1">
      <alignment horizontal="right" vertical="center"/>
    </xf>
    <xf numFmtId="167" fontId="40" fillId="16" borderId="3" xfId="0" applyNumberFormat="1" applyFont="1" applyFill="1" applyBorder="1"/>
    <xf numFmtId="167" fontId="40" fillId="3" borderId="5" xfId="0" applyNumberFormat="1" applyFont="1" applyFill="1" applyBorder="1"/>
    <xf numFmtId="0" fontId="75" fillId="16" borderId="4" xfId="0" applyFont="1" applyFill="1" applyBorder="1" applyAlignment="1">
      <alignment horizontal="right" vertical="center"/>
    </xf>
    <xf numFmtId="167" fontId="40" fillId="16" borderId="5" xfId="0" applyNumberFormat="1" applyFont="1" applyFill="1" applyBorder="1"/>
    <xf numFmtId="0" fontId="40" fillId="3" borderId="5" xfId="0" applyFont="1" applyFill="1" applyBorder="1"/>
    <xf numFmtId="0" fontId="40" fillId="16" borderId="5" xfId="0" applyFont="1" applyFill="1" applyBorder="1"/>
    <xf numFmtId="0" fontId="40" fillId="3" borderId="6" xfId="0" applyFont="1" applyFill="1" applyBorder="1" applyAlignment="1">
      <alignment horizontal="right"/>
    </xf>
    <xf numFmtId="0" fontId="68" fillId="3" borderId="7" xfId="0" applyFont="1" applyFill="1" applyBorder="1"/>
    <xf numFmtId="167" fontId="40" fillId="3" borderId="14" xfId="0" applyNumberFormat="1" applyFont="1" applyFill="1" applyBorder="1"/>
    <xf numFmtId="0" fontId="40" fillId="3" borderId="0" xfId="0" applyFont="1" applyFill="1"/>
    <xf numFmtId="174" fontId="35" fillId="16" borderId="0" xfId="9" applyNumberFormat="1" applyFont="1" applyFill="1" applyAlignment="1">
      <alignment horizontal="right"/>
    </xf>
    <xf numFmtId="0" fontId="71" fillId="3" borderId="40" xfId="0" applyFont="1" applyFill="1" applyBorder="1" applyAlignment="1">
      <alignment wrapText="1"/>
    </xf>
    <xf numFmtId="174" fontId="35" fillId="16" borderId="41" xfId="9" applyNumberFormat="1" applyFont="1" applyFill="1" applyBorder="1" applyAlignment="1">
      <alignment horizontal="right"/>
    </xf>
    <xf numFmtId="174" fontId="75" fillId="16" borderId="41" xfId="9" applyNumberFormat="1" applyFont="1" applyFill="1" applyBorder="1" applyAlignment="1">
      <alignment horizontal="right"/>
    </xf>
    <xf numFmtId="0" fontId="68" fillId="3" borderId="41" xfId="0" applyFont="1" applyFill="1" applyBorder="1"/>
    <xf numFmtId="0" fontId="68" fillId="3" borderId="29" xfId="0" applyFont="1" applyFill="1" applyBorder="1"/>
    <xf numFmtId="0" fontId="71" fillId="3" borderId="40" xfId="0" applyFont="1" applyFill="1" applyBorder="1" applyAlignment="1">
      <alignment horizontal="center" vertical="top"/>
    </xf>
    <xf numFmtId="0" fontId="71" fillId="3" borderId="40" xfId="0" applyFont="1" applyFill="1" applyBorder="1" applyAlignment="1">
      <alignment horizontal="center" vertical="top" wrapText="1"/>
    </xf>
    <xf numFmtId="2" fontId="0" fillId="0" borderId="47" xfId="0" applyNumberFormat="1" applyBorder="1"/>
    <xf numFmtId="0" fontId="13" fillId="3" borderId="11" xfId="0" applyFont="1" applyFill="1" applyBorder="1" applyAlignment="1">
      <alignment horizontal="center" vertical="center" wrapText="1"/>
    </xf>
    <xf numFmtId="0" fontId="40" fillId="9" borderId="53" xfId="0" applyFont="1" applyFill="1" applyBorder="1" applyAlignment="1">
      <alignment horizontal="center"/>
    </xf>
    <xf numFmtId="0" fontId="40" fillId="9" borderId="54" xfId="0" applyFont="1" applyFill="1" applyBorder="1" applyAlignment="1">
      <alignment horizontal="center"/>
    </xf>
    <xf numFmtId="0" fontId="40" fillId="9" borderId="55" xfId="0" applyFont="1" applyFill="1" applyBorder="1" applyAlignment="1">
      <alignment horizontal="center"/>
    </xf>
    <xf numFmtId="0" fontId="71" fillId="3" borderId="0" xfId="0" applyFont="1" applyFill="1" applyAlignment="1">
      <alignment horizontal="left" vertical="top" wrapText="1"/>
    </xf>
    <xf numFmtId="0" fontId="71" fillId="3" borderId="5" xfId="0" applyFont="1" applyFill="1" applyBorder="1" applyAlignment="1">
      <alignment horizontal="left" vertical="top" wrapText="1"/>
    </xf>
    <xf numFmtId="0" fontId="71" fillId="3" borderId="10" xfId="0" applyFont="1" applyFill="1" applyBorder="1" applyAlignment="1">
      <alignment horizontal="center" vertical="center" wrapText="1"/>
    </xf>
    <xf numFmtId="0" fontId="40" fillId="0" borderId="56" xfId="0" applyFont="1" applyBorder="1"/>
    <xf numFmtId="9" fontId="40" fillId="0" borderId="57" xfId="0" applyNumberFormat="1" applyFont="1" applyBorder="1"/>
    <xf numFmtId="9" fontId="40" fillId="0" borderId="10" xfId="0" applyNumberFormat="1" applyFont="1" applyBorder="1" applyAlignment="1">
      <alignment horizontal="right"/>
    </xf>
    <xf numFmtId="3" fontId="71" fillId="0" borderId="47" xfId="0" applyNumberFormat="1" applyFont="1" applyBorder="1" applyAlignment="1">
      <alignment horizontal="right"/>
    </xf>
    <xf numFmtId="0" fontId="40" fillId="0" borderId="59" xfId="0" applyFont="1" applyBorder="1"/>
    <xf numFmtId="167" fontId="76" fillId="0" borderId="46" xfId="1" applyNumberFormat="1" applyFont="1" applyBorder="1" applyAlignment="1">
      <alignment horizontal="right"/>
    </xf>
    <xf numFmtId="169" fontId="40" fillId="0" borderId="9" xfId="1" applyNumberFormat="1" applyFont="1" applyBorder="1"/>
    <xf numFmtId="3" fontId="76" fillId="0" borderId="47" xfId="0" applyNumberFormat="1" applyFont="1" applyBorder="1" applyAlignment="1">
      <alignment horizontal="right"/>
    </xf>
    <xf numFmtId="0" fontId="40" fillId="0" borderId="46" xfId="0" applyFont="1" applyBorder="1"/>
    <xf numFmtId="0" fontId="40" fillId="0" borderId="9" xfId="0" applyFont="1" applyBorder="1"/>
    <xf numFmtId="0" fontId="71" fillId="0" borderId="46" xfId="0" applyFont="1" applyBorder="1" applyAlignment="1">
      <alignment horizontal="right"/>
    </xf>
    <xf numFmtId="9" fontId="40" fillId="0" borderId="9" xfId="0" applyNumberFormat="1" applyFont="1" applyBorder="1"/>
    <xf numFmtId="9" fontId="40" fillId="0" borderId="47" xfId="0" applyNumberFormat="1" applyFont="1" applyBorder="1" applyAlignment="1">
      <alignment horizontal="right"/>
    </xf>
    <xf numFmtId="0" fontId="40" fillId="0" borderId="60" xfId="0" applyFont="1" applyBorder="1"/>
    <xf numFmtId="169" fontId="40" fillId="0" borderId="48" xfId="1" applyNumberFormat="1" applyFont="1" applyBorder="1"/>
    <xf numFmtId="169" fontId="40" fillId="0" borderId="18" xfId="1" applyNumberFormat="1" applyFont="1" applyBorder="1"/>
    <xf numFmtId="169" fontId="40" fillId="0" borderId="49" xfId="1" applyNumberFormat="1" applyFont="1" applyBorder="1"/>
    <xf numFmtId="0" fontId="68" fillId="0" borderId="24" xfId="0" applyFont="1" applyBorder="1"/>
    <xf numFmtId="0" fontId="68" fillId="0" borderId="0" xfId="0" applyFont="1"/>
    <xf numFmtId="0" fontId="71" fillId="3" borderId="9" xfId="0" applyFont="1" applyFill="1" applyBorder="1" applyAlignment="1">
      <alignment horizontal="center" vertical="center" wrapText="1"/>
    </xf>
    <xf numFmtId="0" fontId="3" fillId="0" borderId="0" xfId="0" applyFont="1"/>
    <xf numFmtId="0" fontId="3" fillId="3" borderId="11" xfId="0" applyFont="1" applyFill="1" applyBorder="1"/>
    <xf numFmtId="0" fontId="50" fillId="3" borderId="9" xfId="0" applyFont="1" applyFill="1" applyBorder="1"/>
    <xf numFmtId="0" fontId="50" fillId="3" borderId="12" xfId="0" applyFont="1" applyFill="1" applyBorder="1"/>
    <xf numFmtId="0" fontId="42" fillId="17" borderId="0" xfId="0" applyFont="1" applyFill="1"/>
    <xf numFmtId="0" fontId="50" fillId="3" borderId="11" xfId="0" applyFont="1" applyFill="1" applyBorder="1" applyAlignment="1">
      <alignment horizontal="center" vertical="center" wrapText="1"/>
    </xf>
    <xf numFmtId="0" fontId="42" fillId="25" borderId="0" xfId="0" applyFont="1" applyFill="1"/>
    <xf numFmtId="0" fontId="42" fillId="25" borderId="2" xfId="0" applyFont="1" applyFill="1" applyBorder="1"/>
    <xf numFmtId="0" fontId="41" fillId="25" borderId="0" xfId="0" applyFont="1" applyFill="1"/>
    <xf numFmtId="0" fontId="41" fillId="26" borderId="0" xfId="0" applyFont="1" applyFill="1"/>
    <xf numFmtId="0" fontId="12" fillId="26" borderId="0" xfId="0" applyFont="1" applyFill="1"/>
    <xf numFmtId="0" fontId="42" fillId="26" borderId="0" xfId="0" applyFont="1" applyFill="1"/>
    <xf numFmtId="0" fontId="41" fillId="26" borderId="0" xfId="0" applyFont="1" applyFill="1" applyAlignment="1">
      <alignment horizontal="left"/>
    </xf>
    <xf numFmtId="0" fontId="41" fillId="26" borderId="0" xfId="0" applyFont="1" applyFill="1" applyAlignment="1">
      <alignment horizontal="right"/>
    </xf>
    <xf numFmtId="0" fontId="12" fillId="27" borderId="0" xfId="0" applyFont="1" applyFill="1"/>
    <xf numFmtId="0" fontId="42" fillId="27" borderId="0" xfId="0" applyFont="1" applyFill="1"/>
    <xf numFmtId="0" fontId="78" fillId="28" borderId="21" xfId="0" applyFont="1" applyFill="1" applyBorder="1"/>
    <xf numFmtId="0" fontId="3" fillId="0" borderId="22" xfId="0" applyFont="1" applyBorder="1"/>
    <xf numFmtId="0" fontId="3" fillId="0" borderId="23" xfId="0" applyFont="1" applyBorder="1"/>
    <xf numFmtId="0" fontId="42" fillId="27" borderId="24" xfId="0" applyFont="1" applyFill="1" applyBorder="1"/>
    <xf numFmtId="0" fontId="46" fillId="27" borderId="0" xfId="0" applyFont="1" applyFill="1"/>
    <xf numFmtId="0" fontId="42" fillId="27" borderId="25" xfId="0" applyFont="1" applyFill="1" applyBorder="1"/>
    <xf numFmtId="0" fontId="46" fillId="27" borderId="25" xfId="0" applyFont="1" applyFill="1" applyBorder="1"/>
    <xf numFmtId="0" fontId="41" fillId="27" borderId="60" xfId="0" applyFont="1" applyFill="1" applyBorder="1"/>
    <xf numFmtId="0" fontId="41" fillId="27" borderId="20" xfId="0" applyFont="1" applyFill="1" applyBorder="1"/>
    <xf numFmtId="0" fontId="42" fillId="27" borderId="20" xfId="0" applyFont="1" applyFill="1" applyBorder="1"/>
    <xf numFmtId="0" fontId="41" fillId="27" borderId="38" xfId="0" applyFont="1" applyFill="1" applyBorder="1"/>
    <xf numFmtId="0" fontId="77" fillId="28" borderId="21" xfId="0" applyFont="1" applyFill="1" applyBorder="1"/>
    <xf numFmtId="0" fontId="74" fillId="27" borderId="0" xfId="0" applyFont="1" applyFill="1"/>
    <xf numFmtId="0" fontId="78" fillId="27" borderId="20" xfId="0" applyFont="1" applyFill="1" applyBorder="1"/>
    <xf numFmtId="0" fontId="50" fillId="3" borderId="10" xfId="0" applyFont="1" applyFill="1" applyBorder="1"/>
    <xf numFmtId="0" fontId="20" fillId="3" borderId="10" xfId="0" applyFont="1" applyFill="1" applyBorder="1"/>
    <xf numFmtId="0" fontId="2" fillId="9" borderId="50" xfId="0" applyFont="1" applyFill="1" applyBorder="1" applyAlignment="1">
      <alignment horizontal="center"/>
    </xf>
    <xf numFmtId="0" fontId="2" fillId="9" borderId="45" xfId="0" applyFont="1" applyFill="1" applyBorder="1" applyAlignment="1">
      <alignment horizontal="center"/>
    </xf>
    <xf numFmtId="0" fontId="79" fillId="3" borderId="15" xfId="0" applyFont="1" applyFill="1" applyBorder="1" applyAlignment="1">
      <alignment vertical="top" wrapText="1"/>
    </xf>
    <xf numFmtId="0" fontId="79" fillId="3" borderId="14" xfId="0" applyFont="1" applyFill="1" applyBorder="1" applyAlignment="1">
      <alignment vertical="top" wrapText="1"/>
    </xf>
    <xf numFmtId="0" fontId="2" fillId="0" borderId="51" xfId="0" applyFont="1" applyBorder="1"/>
    <xf numFmtId="0" fontId="2" fillId="0" borderId="12" xfId="0" applyFont="1" applyBorder="1"/>
    <xf numFmtId="0" fontId="2" fillId="0" borderId="52" xfId="0" applyFont="1" applyBorder="1"/>
    <xf numFmtId="0" fontId="2" fillId="0" borderId="48" xfId="0" applyFont="1" applyBorder="1"/>
    <xf numFmtId="0" fontId="2" fillId="0" borderId="18" xfId="0" applyFont="1" applyBorder="1"/>
    <xf numFmtId="0" fontId="2" fillId="0" borderId="49" xfId="0" applyFont="1" applyBorder="1"/>
    <xf numFmtId="0" fontId="71" fillId="16" borderId="24" xfId="0" applyFont="1" applyFill="1" applyBorder="1" applyAlignment="1">
      <alignment horizontal="center"/>
    </xf>
    <xf numFmtId="0" fontId="14" fillId="8" borderId="1" xfId="0" applyFont="1" applyFill="1" applyBorder="1"/>
    <xf numFmtId="0" fontId="81" fillId="16" borderId="40" xfId="0" applyFont="1" applyFill="1" applyBorder="1"/>
    <xf numFmtId="0" fontId="68" fillId="8" borderId="2" xfId="0" applyFont="1" applyFill="1" applyBorder="1"/>
    <xf numFmtId="0" fontId="14" fillId="16" borderId="0" xfId="3" applyFont="1" applyFill="1"/>
    <xf numFmtId="0" fontId="68" fillId="16" borderId="0" xfId="3" applyFont="1" applyFill="1"/>
    <xf numFmtId="0" fontId="68" fillId="16" borderId="41" xfId="3" applyFont="1" applyFill="1" applyBorder="1"/>
    <xf numFmtId="0" fontId="81" fillId="16" borderId="40" xfId="3" applyFont="1" applyFill="1" applyBorder="1"/>
    <xf numFmtId="0" fontId="71" fillId="16" borderId="24" xfId="3" applyFont="1" applyFill="1" applyBorder="1" applyAlignment="1">
      <alignment horizontal="center"/>
    </xf>
    <xf numFmtId="0" fontId="68" fillId="16" borderId="41" xfId="0" applyFont="1" applyFill="1" applyBorder="1"/>
    <xf numFmtId="0" fontId="40" fillId="16" borderId="0" xfId="3" applyFont="1" applyFill="1"/>
    <xf numFmtId="0" fontId="63" fillId="8" borderId="1" xfId="3" applyFont="1" applyFill="1" applyBorder="1"/>
    <xf numFmtId="0" fontId="68" fillId="8" borderId="2" xfId="3" applyFont="1" applyFill="1" applyBorder="1"/>
    <xf numFmtId="15" fontId="68" fillId="8" borderId="2" xfId="3" applyNumberFormat="1" applyFont="1" applyFill="1" applyBorder="1"/>
    <xf numFmtId="15" fontId="68" fillId="8" borderId="3" xfId="3" applyNumberFormat="1" applyFont="1" applyFill="1" applyBorder="1"/>
    <xf numFmtId="0" fontId="68" fillId="8" borderId="4" xfId="3" applyFont="1" applyFill="1" applyBorder="1"/>
    <xf numFmtId="0" fontId="68" fillId="8" borderId="0" xfId="3" applyFont="1" applyFill="1"/>
    <xf numFmtId="0" fontId="68" fillId="8" borderId="5" xfId="3" applyFont="1" applyFill="1" applyBorder="1"/>
    <xf numFmtId="0" fontId="40" fillId="8" borderId="4" xfId="3" applyFont="1" applyFill="1" applyBorder="1"/>
    <xf numFmtId="169" fontId="40" fillId="8" borderId="6" xfId="10" applyNumberFormat="1" applyFont="1" applyFill="1" applyBorder="1"/>
    <xf numFmtId="169" fontId="68" fillId="8" borderId="7" xfId="10" applyNumberFormat="1" applyFont="1" applyFill="1" applyBorder="1"/>
    <xf numFmtId="169" fontId="40" fillId="8" borderId="7" xfId="10" applyNumberFormat="1" applyFont="1" applyFill="1" applyBorder="1"/>
    <xf numFmtId="0" fontId="40" fillId="8" borderId="1" xfId="3" applyFont="1" applyFill="1" applyBorder="1"/>
    <xf numFmtId="0" fontId="68" fillId="8" borderId="3" xfId="3" applyFont="1" applyFill="1" applyBorder="1"/>
    <xf numFmtId="0" fontId="40" fillId="8" borderId="6" xfId="3" applyFont="1" applyFill="1" applyBorder="1"/>
    <xf numFmtId="0" fontId="40" fillId="8" borderId="7" xfId="3" applyFont="1" applyFill="1" applyBorder="1"/>
    <xf numFmtId="169" fontId="82" fillId="8" borderId="0" xfId="10" applyNumberFormat="1" applyFont="1" applyFill="1" applyBorder="1"/>
    <xf numFmtId="169" fontId="82" fillId="8" borderId="5" xfId="10" applyNumberFormat="1" applyFont="1" applyFill="1" applyBorder="1"/>
    <xf numFmtId="169" fontId="83" fillId="8" borderId="0" xfId="10" applyNumberFormat="1" applyFont="1" applyFill="1" applyBorder="1"/>
    <xf numFmtId="169" fontId="83" fillId="8" borderId="5" xfId="10" applyNumberFormat="1" applyFont="1" applyFill="1" applyBorder="1"/>
    <xf numFmtId="169" fontId="84" fillId="8" borderId="0" xfId="10" applyNumberFormat="1" applyFont="1" applyFill="1" applyBorder="1"/>
    <xf numFmtId="169" fontId="84" fillId="8" borderId="5" xfId="10" applyNumberFormat="1" applyFont="1" applyFill="1" applyBorder="1"/>
    <xf numFmtId="0" fontId="82" fillId="8" borderId="5" xfId="3" applyFont="1" applyFill="1" applyBorder="1"/>
    <xf numFmtId="169" fontId="84" fillId="8" borderId="7" xfId="10" applyNumberFormat="1" applyFont="1" applyFill="1" applyBorder="1"/>
    <xf numFmtId="169" fontId="84" fillId="8" borderId="8" xfId="10" applyNumberFormat="1" applyFont="1" applyFill="1" applyBorder="1"/>
    <xf numFmtId="0" fontId="40" fillId="8" borderId="0" xfId="3" applyFont="1" applyFill="1"/>
    <xf numFmtId="0" fontId="82" fillId="8" borderId="0" xfId="3" applyFont="1" applyFill="1"/>
    <xf numFmtId="169" fontId="83" fillId="16" borderId="0" xfId="10" applyNumberFormat="1" applyFont="1" applyFill="1" applyBorder="1"/>
    <xf numFmtId="169" fontId="68" fillId="16" borderId="10" xfId="10" applyNumberFormat="1" applyFont="1" applyFill="1" applyBorder="1" applyAlignment="1">
      <alignment horizontal="right"/>
    </xf>
    <xf numFmtId="169" fontId="84" fillId="16" borderId="0" xfId="10" applyNumberFormat="1" applyFont="1" applyFill="1" applyBorder="1"/>
    <xf numFmtId="15" fontId="40" fillId="8" borderId="2" xfId="0" applyNumberFormat="1" applyFont="1" applyFill="1" applyBorder="1"/>
    <xf numFmtId="0" fontId="40" fillId="8" borderId="2" xfId="0" applyFont="1" applyFill="1" applyBorder="1"/>
    <xf numFmtId="15" fontId="40" fillId="8" borderId="3" xfId="0" applyNumberFormat="1" applyFont="1" applyFill="1" applyBorder="1"/>
    <xf numFmtId="0" fontId="68" fillId="8" borderId="4" xfId="0" applyFont="1" applyFill="1" applyBorder="1"/>
    <xf numFmtId="0" fontId="68" fillId="8" borderId="0" xfId="0" applyFont="1" applyFill="1"/>
    <xf numFmtId="0" fontId="68" fillId="8" borderId="5" xfId="0" applyFont="1" applyFill="1" applyBorder="1"/>
    <xf numFmtId="169" fontId="68" fillId="16" borderId="0" xfId="0" applyNumberFormat="1" applyFont="1" applyFill="1"/>
    <xf numFmtId="0" fontId="40" fillId="8" borderId="4" xfId="0" applyFont="1" applyFill="1" applyBorder="1"/>
    <xf numFmtId="0" fontId="40" fillId="8" borderId="0" xfId="0" applyFont="1" applyFill="1"/>
    <xf numFmtId="0" fontId="82" fillId="8" borderId="0" xfId="0" applyFont="1" applyFill="1"/>
    <xf numFmtId="0" fontId="82" fillId="8" borderId="5" xfId="0" applyFont="1" applyFill="1" applyBorder="1"/>
    <xf numFmtId="0" fontId="40" fillId="8" borderId="1" xfId="0" applyFont="1" applyFill="1" applyBorder="1"/>
    <xf numFmtId="0" fontId="68" fillId="8" borderId="3" xfId="0" applyFont="1" applyFill="1" applyBorder="1"/>
    <xf numFmtId="169" fontId="82" fillId="8" borderId="0" xfId="0" applyNumberFormat="1" applyFont="1" applyFill="1"/>
    <xf numFmtId="169" fontId="83" fillId="8" borderId="0" xfId="0" applyNumberFormat="1" applyFont="1" applyFill="1"/>
    <xf numFmtId="169" fontId="84" fillId="8" borderId="5" xfId="0" applyNumberFormat="1" applyFont="1" applyFill="1" applyBorder="1"/>
    <xf numFmtId="0" fontId="40" fillId="8" borderId="6" xfId="0" applyFont="1" applyFill="1" applyBorder="1"/>
    <xf numFmtId="0" fontId="40" fillId="8" borderId="7" xfId="0" applyFont="1" applyFill="1" applyBorder="1"/>
    <xf numFmtId="169" fontId="82" fillId="2" borderId="0" xfId="0" applyNumberFormat="1" applyFont="1" applyFill="1"/>
    <xf numFmtId="169" fontId="83" fillId="2" borderId="0" xfId="0" applyNumberFormat="1" applyFont="1" applyFill="1"/>
    <xf numFmtId="169" fontId="85" fillId="8" borderId="5" xfId="0" applyNumberFormat="1" applyFont="1" applyFill="1" applyBorder="1"/>
    <xf numFmtId="0" fontId="68" fillId="8" borderId="6" xfId="0" applyFont="1" applyFill="1" applyBorder="1"/>
    <xf numFmtId="0" fontId="68" fillId="8" borderId="7" xfId="0" applyFont="1" applyFill="1" applyBorder="1"/>
    <xf numFmtId="169" fontId="82" fillId="8" borderId="7" xfId="0" applyNumberFormat="1" applyFont="1" applyFill="1" applyBorder="1"/>
    <xf numFmtId="169" fontId="84" fillId="2" borderId="8" xfId="0" applyNumberFormat="1" applyFont="1" applyFill="1" applyBorder="1"/>
    <xf numFmtId="0" fontId="84" fillId="16" borderId="0" xfId="0" applyFont="1" applyFill="1"/>
    <xf numFmtId="0" fontId="14" fillId="16" borderId="0" xfId="0" applyFont="1" applyFill="1"/>
    <xf numFmtId="0" fontId="68" fillId="16" borderId="0" xfId="0" applyFont="1" applyFill="1" applyAlignment="1">
      <alignment horizontal="center"/>
    </xf>
    <xf numFmtId="0" fontId="68" fillId="16" borderId="12" xfId="0" applyFont="1" applyFill="1" applyBorder="1" applyAlignment="1">
      <alignment horizontal="center"/>
    </xf>
    <xf numFmtId="0" fontId="68" fillId="16" borderId="10" xfId="0" applyFont="1" applyFill="1" applyBorder="1" applyAlignment="1">
      <alignment horizontal="center"/>
    </xf>
    <xf numFmtId="0" fontId="63" fillId="16" borderId="0" xfId="0" applyFont="1" applyFill="1"/>
    <xf numFmtId="168" fontId="0" fillId="0" borderId="0" xfId="0" applyNumberFormat="1"/>
    <xf numFmtId="0" fontId="14" fillId="16" borderId="0" xfId="3" applyFont="1" applyFill="1" applyAlignment="1">
      <alignment horizontal="left"/>
    </xf>
    <xf numFmtId="0" fontId="0" fillId="29" borderId="61" xfId="0" applyFill="1" applyBorder="1"/>
    <xf numFmtId="0" fontId="0" fillId="0" borderId="61" xfId="0" applyBorder="1"/>
    <xf numFmtId="9" fontId="0" fillId="0" borderId="61" xfId="0" applyNumberFormat="1" applyBorder="1"/>
    <xf numFmtId="178" fontId="3" fillId="0" borderId="61" xfId="10" applyNumberFormat="1" applyBorder="1"/>
    <xf numFmtId="0" fontId="0" fillId="0" borderId="61" xfId="0" applyBorder="1" applyAlignment="1">
      <alignment wrapText="1"/>
    </xf>
    <xf numFmtId="0" fontId="13" fillId="3" borderId="0" xfId="0" applyFont="1" applyFill="1" applyAlignment="1">
      <alignment horizontal="center" vertical="center" wrapText="1"/>
    </xf>
    <xf numFmtId="0" fontId="71" fillId="3" borderId="0" xfId="0" applyFont="1" applyFill="1" applyAlignment="1">
      <alignment horizontal="center" vertical="top"/>
    </xf>
    <xf numFmtId="0" fontId="3" fillId="3" borderId="9" xfId="0" applyFont="1" applyFill="1" applyBorder="1" applyAlignment="1">
      <alignment vertical="top" wrapText="1"/>
    </xf>
    <xf numFmtId="0" fontId="4" fillId="3" borderId="9" xfId="0" applyFont="1" applyFill="1" applyBorder="1" applyAlignment="1">
      <alignment horizontal="left" vertical="top" wrapText="1"/>
    </xf>
    <xf numFmtId="0" fontId="4" fillId="3" borderId="9" xfId="0" applyFont="1" applyFill="1" applyBorder="1" applyAlignment="1">
      <alignment horizontal="left" vertical="top"/>
    </xf>
    <xf numFmtId="179" fontId="0" fillId="3" borderId="9" xfId="1" applyNumberFormat="1" applyFont="1" applyFill="1" applyBorder="1"/>
    <xf numFmtId="9" fontId="40" fillId="0" borderId="57" xfId="2" applyFont="1" applyBorder="1"/>
    <xf numFmtId="9" fontId="76" fillId="0" borderId="46" xfId="2" applyFont="1" applyBorder="1" applyAlignment="1">
      <alignment horizontal="right"/>
    </xf>
    <xf numFmtId="9" fontId="40" fillId="0" borderId="46" xfId="2" applyFont="1" applyBorder="1"/>
    <xf numFmtId="9" fontId="76" fillId="0" borderId="47" xfId="2" applyFont="1" applyBorder="1" applyAlignment="1">
      <alignment horizontal="right"/>
    </xf>
    <xf numFmtId="179" fontId="40" fillId="0" borderId="9" xfId="1" applyNumberFormat="1" applyFont="1" applyBorder="1"/>
    <xf numFmtId="0" fontId="71" fillId="16" borderId="0" xfId="0" applyFont="1" applyFill="1" applyAlignment="1">
      <alignment horizontal="center"/>
    </xf>
    <xf numFmtId="0" fontId="3" fillId="3" borderId="6" xfId="3" applyFill="1" applyBorder="1"/>
    <xf numFmtId="0" fontId="3" fillId="3" borderId="7" xfId="3" applyFill="1" applyBorder="1"/>
    <xf numFmtId="0" fontId="3" fillId="3" borderId="8" xfId="3" applyFill="1" applyBorder="1"/>
    <xf numFmtId="3" fontId="63" fillId="0" borderId="0" xfId="0" applyNumberFormat="1" applyFont="1"/>
    <xf numFmtId="9" fontId="3" fillId="0" borderId="61" xfId="6" applyBorder="1"/>
    <xf numFmtId="169" fontId="4" fillId="5" borderId="0" xfId="0" applyNumberFormat="1" applyFont="1" applyFill="1" applyAlignment="1">
      <alignment horizontal="left" wrapText="1"/>
    </xf>
    <xf numFmtId="180" fontId="76" fillId="0" borderId="47" xfId="1" applyNumberFormat="1" applyFont="1" applyBorder="1" applyAlignment="1">
      <alignment horizontal="right"/>
    </xf>
    <xf numFmtId="1" fontId="40" fillId="0" borderId="9" xfId="1" applyNumberFormat="1" applyFont="1" applyBorder="1"/>
    <xf numFmtId="1" fontId="76" fillId="0" borderId="47" xfId="1" applyNumberFormat="1" applyFont="1" applyBorder="1" applyAlignment="1">
      <alignment horizontal="right"/>
    </xf>
    <xf numFmtId="0" fontId="56" fillId="25" borderId="0" xfId="0" applyFont="1" applyFill="1"/>
    <xf numFmtId="0" fontId="78" fillId="25" borderId="2" xfId="0" applyFont="1" applyFill="1" applyBorder="1"/>
    <xf numFmtId="0" fontId="0" fillId="3" borderId="0" xfId="0" applyFill="1" applyAlignment="1">
      <alignment horizontal="left" vertical="top" wrapText="1"/>
    </xf>
    <xf numFmtId="0" fontId="3" fillId="3" borderId="0" xfId="3" applyFill="1" applyAlignment="1">
      <alignment horizontal="left" vertical="top" wrapText="1"/>
    </xf>
    <xf numFmtId="0" fontId="0" fillId="3" borderId="0" xfId="0" applyFill="1" applyAlignment="1">
      <alignment horizontal="left" vertical="top"/>
    </xf>
    <xf numFmtId="169" fontId="0" fillId="0" borderId="0" xfId="0" applyNumberFormat="1"/>
    <xf numFmtId="0" fontId="3" fillId="0" borderId="7" xfId="3" applyBorder="1" applyAlignment="1">
      <alignment horizontal="right"/>
    </xf>
    <xf numFmtId="0" fontId="3" fillId="0" borderId="15" xfId="3" applyBorder="1"/>
    <xf numFmtId="0" fontId="0" fillId="4" borderId="11" xfId="1" applyNumberFormat="1" applyFont="1" applyFill="1" applyBorder="1"/>
    <xf numFmtId="0" fontId="0" fillId="0" borderId="11" xfId="1" applyNumberFormat="1" applyFont="1" applyBorder="1"/>
    <xf numFmtId="2" fontId="0" fillId="0" borderId="0" xfId="0" applyNumberFormat="1"/>
    <xf numFmtId="0" fontId="5" fillId="31" borderId="13" xfId="0" applyFont="1" applyFill="1" applyBorder="1"/>
    <xf numFmtId="3" fontId="0" fillId="0" borderId="0" xfId="0" applyNumberFormat="1"/>
    <xf numFmtId="43" fontId="0" fillId="0" borderId="0" xfId="0" applyNumberFormat="1"/>
    <xf numFmtId="169" fontId="82" fillId="16" borderId="0" xfId="10" applyNumberFormat="1" applyFont="1" applyFill="1" applyBorder="1"/>
    <xf numFmtId="169" fontId="68" fillId="16" borderId="0" xfId="3" applyNumberFormat="1" applyFont="1" applyFill="1"/>
    <xf numFmtId="169" fontId="40" fillId="16" borderId="0" xfId="3" applyNumberFormat="1" applyFont="1" applyFill="1"/>
    <xf numFmtId="0" fontId="50" fillId="3" borderId="29" xfId="0" applyFont="1" applyFill="1" applyBorder="1" applyAlignment="1">
      <alignment horizontal="center" vertical="center" wrapText="1"/>
    </xf>
    <xf numFmtId="0" fontId="50" fillId="3" borderId="29" xfId="0" applyFont="1" applyFill="1" applyBorder="1" applyAlignment="1">
      <alignment horizontal="center" wrapText="1"/>
    </xf>
    <xf numFmtId="169" fontId="4" fillId="3" borderId="9" xfId="13" applyNumberFormat="1" applyFont="1" applyFill="1" applyBorder="1"/>
    <xf numFmtId="0" fontId="12" fillId="16" borderId="0" xfId="0" applyFont="1" applyFill="1" applyAlignment="1">
      <alignment horizontal="center" vertical="center" wrapText="1"/>
    </xf>
    <xf numFmtId="0" fontId="12" fillId="16" borderId="9" xfId="0" applyFont="1" applyFill="1" applyBorder="1" applyAlignment="1">
      <alignment horizontal="center" vertical="center" wrapText="1"/>
    </xf>
    <xf numFmtId="0" fontId="12" fillId="16" borderId="9" xfId="0" applyFont="1" applyFill="1" applyBorder="1" applyAlignment="1">
      <alignment horizontal="center" vertical="center"/>
    </xf>
    <xf numFmtId="0" fontId="16" fillId="16" borderId="0" xfId="0" applyFont="1" applyFill="1" applyAlignment="1">
      <alignment horizontal="center"/>
    </xf>
    <xf numFmtId="167" fontId="12" fillId="16" borderId="14" xfId="14" applyNumberFormat="1" applyFont="1" applyFill="1" applyBorder="1" applyAlignment="1">
      <alignment horizontal="right"/>
    </xf>
    <xf numFmtId="167" fontId="12" fillId="16" borderId="15" xfId="14" applyNumberFormat="1" applyFont="1" applyFill="1" applyBorder="1" applyAlignment="1">
      <alignment horizontal="right"/>
    </xf>
    <xf numFmtId="173" fontId="12" fillId="16" borderId="13" xfId="0" applyNumberFormat="1" applyFont="1" applyFill="1" applyBorder="1" applyAlignment="1">
      <alignment vertical="center" wrapText="1"/>
    </xf>
    <xf numFmtId="0" fontId="3" fillId="16" borderId="0" xfId="0" applyFont="1" applyFill="1"/>
    <xf numFmtId="173" fontId="12" fillId="16" borderId="13" xfId="0" applyNumberFormat="1" applyFont="1" applyFill="1" applyBorder="1" applyAlignment="1">
      <alignment horizontal="left" vertical="center"/>
    </xf>
    <xf numFmtId="167" fontId="3" fillId="16" borderId="0" xfId="0" applyNumberFormat="1" applyFont="1" applyFill="1"/>
    <xf numFmtId="167" fontId="16" fillId="16" borderId="0" xfId="14" applyNumberFormat="1" applyFont="1" applyFill="1" applyAlignment="1">
      <alignment horizontal="right"/>
    </xf>
    <xf numFmtId="173" fontId="16" fillId="16" borderId="0" xfId="0" applyNumberFormat="1" applyFont="1" applyFill="1" applyAlignment="1">
      <alignment vertical="center"/>
    </xf>
    <xf numFmtId="167" fontId="46" fillId="16" borderId="0" xfId="14" applyNumberFormat="1" applyFont="1" applyFill="1" applyAlignment="1">
      <alignment horizontal="right"/>
    </xf>
    <xf numFmtId="167" fontId="42" fillId="16" borderId="0" xfId="14" applyNumberFormat="1" applyFont="1" applyFill="1" applyAlignment="1">
      <alignment horizontal="right"/>
    </xf>
    <xf numFmtId="167" fontId="16" fillId="16" borderId="0" xfId="14" applyNumberFormat="1" applyFont="1" applyFill="1" applyAlignment="1">
      <alignment horizontal="right" vertical="top"/>
    </xf>
    <xf numFmtId="173" fontId="16" fillId="16" borderId="0" xfId="0" applyNumberFormat="1" applyFont="1" applyFill="1" applyAlignment="1">
      <alignment vertical="top"/>
    </xf>
    <xf numFmtId="173" fontId="12" fillId="16" borderId="0" xfId="0" applyNumberFormat="1" applyFont="1" applyFill="1" applyAlignment="1">
      <alignment vertical="center"/>
    </xf>
    <xf numFmtId="173" fontId="86" fillId="16" borderId="0" xfId="0" applyNumberFormat="1" applyFont="1" applyFill="1"/>
    <xf numFmtId="173" fontId="3" fillId="16" borderId="0" xfId="0" applyNumberFormat="1" applyFont="1" applyFill="1"/>
    <xf numFmtId="174" fontId="16" fillId="16" borderId="0" xfId="14" applyNumberFormat="1" applyFont="1" applyFill="1" applyAlignment="1">
      <alignment horizontal="right"/>
    </xf>
    <xf numFmtId="173" fontId="12" fillId="16" borderId="0" xfId="0" applyNumberFormat="1" applyFont="1" applyFill="1" applyAlignment="1">
      <alignment vertical="center" wrapText="1"/>
    </xf>
    <xf numFmtId="0" fontId="12" fillId="16" borderId="42" xfId="0" applyFont="1" applyFill="1" applyBorder="1" applyAlignment="1">
      <alignment vertical="center" wrapText="1"/>
    </xf>
    <xf numFmtId="0" fontId="12" fillId="16" borderId="41" xfId="0" applyFont="1" applyFill="1" applyBorder="1" applyAlignment="1">
      <alignment vertical="center" wrapText="1"/>
    </xf>
    <xf numFmtId="0" fontId="3" fillId="16" borderId="40" xfId="0" applyFont="1" applyFill="1" applyBorder="1"/>
    <xf numFmtId="0" fontId="12" fillId="16" borderId="42" xfId="0" applyFont="1" applyFill="1" applyBorder="1" applyAlignment="1">
      <alignment horizontal="right" vertical="center" wrapText="1"/>
    </xf>
    <xf numFmtId="0" fontId="12" fillId="16" borderId="41" xfId="0" applyFont="1" applyFill="1" applyBorder="1" applyAlignment="1">
      <alignment horizontal="right" vertical="center" wrapText="1"/>
    </xf>
    <xf numFmtId="173" fontId="12" fillId="16" borderId="40" xfId="0" applyNumberFormat="1" applyFont="1" applyFill="1" applyBorder="1" applyAlignment="1">
      <alignment vertical="center"/>
    </xf>
    <xf numFmtId="169" fontId="20" fillId="3" borderId="9" xfId="13" applyNumberFormat="1" applyFont="1" applyFill="1" applyBorder="1"/>
    <xf numFmtId="169" fontId="2" fillId="3" borderId="9" xfId="13" applyNumberFormat="1" applyFont="1" applyFill="1" applyBorder="1"/>
    <xf numFmtId="0" fontId="53" fillId="16" borderId="0" xfId="0" applyFont="1" applyFill="1" applyAlignment="1">
      <alignment horizontal="center" vertical="center" wrapText="1"/>
    </xf>
    <xf numFmtId="167" fontId="53" fillId="16" borderId="41" xfId="14" applyNumberFormat="1" applyFont="1" applyFill="1" applyBorder="1" applyAlignment="1">
      <alignment horizontal="right"/>
    </xf>
    <xf numFmtId="167" fontId="45" fillId="16" borderId="0" xfId="14" applyNumberFormat="1" applyFont="1" applyFill="1" applyAlignment="1">
      <alignment horizontal="right"/>
    </xf>
    <xf numFmtId="167" fontId="73" fillId="16" borderId="0" xfId="14" applyNumberFormat="1" applyFont="1" applyFill="1" applyAlignment="1">
      <alignment horizontal="right"/>
    </xf>
    <xf numFmtId="167" fontId="1" fillId="16" borderId="0" xfId="0" applyNumberFormat="1" applyFont="1" applyFill="1"/>
    <xf numFmtId="167" fontId="45" fillId="16" borderId="0" xfId="14" applyNumberFormat="1" applyFont="1" applyFill="1" applyAlignment="1">
      <alignment horizontal="right" vertical="top"/>
    </xf>
    <xf numFmtId="173" fontId="45" fillId="16" borderId="0" xfId="0" applyNumberFormat="1" applyFont="1" applyFill="1" applyAlignment="1">
      <alignment vertical="top"/>
    </xf>
    <xf numFmtId="174" fontId="45" fillId="16" borderId="0" xfId="14" applyNumberFormat="1" applyFont="1" applyFill="1" applyAlignment="1">
      <alignment horizontal="right"/>
    </xf>
    <xf numFmtId="0" fontId="53" fillId="16" borderId="42" xfId="0" applyFont="1" applyFill="1" applyBorder="1" applyAlignment="1">
      <alignment horizontal="right" vertical="center" wrapText="1"/>
    </xf>
    <xf numFmtId="0" fontId="53" fillId="16" borderId="41" xfId="0" applyFont="1" applyFill="1" applyBorder="1" applyAlignment="1">
      <alignment horizontal="right" vertical="center" wrapText="1"/>
    </xf>
    <xf numFmtId="174" fontId="0" fillId="0" borderId="0" xfId="0" applyNumberFormat="1"/>
    <xf numFmtId="174" fontId="53" fillId="16" borderId="42" xfId="14" applyNumberFormat="1" applyFont="1" applyFill="1" applyBorder="1" applyAlignment="1">
      <alignment horizontal="right"/>
    </xf>
    <xf numFmtId="174" fontId="53" fillId="16" borderId="41" xfId="14" applyNumberFormat="1" applyFont="1" applyFill="1" applyBorder="1" applyAlignment="1">
      <alignment horizontal="right"/>
    </xf>
    <xf numFmtId="174" fontId="53" fillId="16" borderId="40" xfId="14" applyNumberFormat="1" applyFont="1" applyFill="1" applyBorder="1" applyAlignment="1">
      <alignment horizontal="right"/>
    </xf>
    <xf numFmtId="174" fontId="58" fillId="16" borderId="0" xfId="14" applyNumberFormat="1" applyFont="1" applyFill="1" applyAlignment="1">
      <alignment horizontal="right"/>
    </xf>
    <xf numFmtId="174" fontId="57" fillId="16" borderId="2" xfId="14" applyNumberFormat="1" applyFont="1" applyFill="1" applyBorder="1" applyAlignment="1">
      <alignment horizontal="right"/>
    </xf>
    <xf numFmtId="174" fontId="53" fillId="16" borderId="2" xfId="14" applyNumberFormat="1" applyFont="1" applyFill="1" applyBorder="1" applyAlignment="1">
      <alignment horizontal="right"/>
    </xf>
    <xf numFmtId="174" fontId="56" fillId="16" borderId="0" xfId="14" applyNumberFormat="1" applyFont="1" applyFill="1" applyAlignment="1">
      <alignment horizontal="right"/>
    </xf>
    <xf numFmtId="174" fontId="53" fillId="16" borderId="0" xfId="14" applyNumberFormat="1" applyFont="1" applyFill="1" applyAlignment="1">
      <alignment horizontal="right"/>
    </xf>
    <xf numFmtId="175" fontId="45" fillId="16" borderId="0" xfId="14" applyNumberFormat="1" applyFont="1" applyFill="1" applyAlignment="1">
      <alignment horizontal="right"/>
    </xf>
    <xf numFmtId="0" fontId="31" fillId="0" borderId="0" xfId="0" applyFont="1" applyAlignment="1">
      <alignment horizontal="left"/>
    </xf>
    <xf numFmtId="10" fontId="4" fillId="4" borderId="38" xfId="3" applyNumberFormat="1" applyFont="1" applyFill="1" applyBorder="1"/>
    <xf numFmtId="10" fontId="4" fillId="4" borderId="20" xfId="3" applyNumberFormat="1" applyFont="1" applyFill="1" applyBorder="1"/>
    <xf numFmtId="10" fontId="3" fillId="4" borderId="25" xfId="3" applyNumberFormat="1" applyFill="1" applyBorder="1"/>
    <xf numFmtId="172" fontId="4" fillId="4" borderId="37" xfId="3" applyNumberFormat="1" applyFont="1" applyFill="1" applyBorder="1"/>
    <xf numFmtId="172" fontId="4" fillId="4" borderId="2" xfId="3" applyNumberFormat="1" applyFont="1" applyFill="1" applyBorder="1"/>
    <xf numFmtId="0" fontId="50" fillId="3" borderId="3" xfId="3" applyFont="1" applyFill="1" applyBorder="1" applyAlignment="1">
      <alignment horizontal="left" wrapText="1"/>
    </xf>
    <xf numFmtId="0" fontId="50" fillId="3" borderId="2" xfId="3" applyFont="1" applyFill="1" applyBorder="1" applyAlignment="1">
      <alignment horizontal="left" wrapText="1"/>
    </xf>
    <xf numFmtId="0" fontId="50" fillId="3" borderId="1" xfId="3" applyFont="1" applyFill="1" applyBorder="1" applyAlignment="1">
      <alignment horizontal="left" wrapText="1"/>
    </xf>
    <xf numFmtId="9" fontId="4" fillId="4" borderId="9" xfId="3" applyNumberFormat="1" applyFont="1" applyFill="1" applyBorder="1"/>
    <xf numFmtId="181" fontId="4" fillId="4" borderId="0" xfId="3" applyNumberFormat="1" applyFont="1" applyFill="1"/>
    <xf numFmtId="169" fontId="3" fillId="4" borderId="7" xfId="3" applyNumberFormat="1" applyFill="1" applyBorder="1"/>
    <xf numFmtId="181" fontId="3" fillId="4" borderId="7" xfId="3" applyNumberFormat="1" applyFill="1" applyBorder="1"/>
    <xf numFmtId="181" fontId="3" fillId="4" borderId="0" xfId="3" applyNumberFormat="1" applyFill="1"/>
    <xf numFmtId="0" fontId="4" fillId="4" borderId="21" xfId="3" applyFont="1" applyFill="1" applyBorder="1"/>
    <xf numFmtId="169" fontId="3" fillId="0" borderId="0" xfId="3" applyNumberFormat="1"/>
    <xf numFmtId="169" fontId="4" fillId="4" borderId="20" xfId="3" applyNumberFormat="1" applyFont="1" applyFill="1" applyBorder="1"/>
    <xf numFmtId="169" fontId="4" fillId="4" borderId="19" xfId="3" applyNumberFormat="1" applyFont="1" applyFill="1" applyBorder="1"/>
    <xf numFmtId="169" fontId="4" fillId="4" borderId="25" xfId="3" applyNumberFormat="1" applyFont="1" applyFill="1" applyBorder="1" applyAlignment="1">
      <alignment horizontal="left" wrapText="1"/>
    </xf>
    <xf numFmtId="169" fontId="4" fillId="4" borderId="0" xfId="3" applyNumberFormat="1" applyFont="1" applyFill="1" applyAlignment="1">
      <alignment horizontal="left" wrapText="1"/>
    </xf>
    <xf numFmtId="169" fontId="4" fillId="4" borderId="5" xfId="3" applyNumberFormat="1" applyFont="1" applyFill="1" applyBorder="1" applyAlignment="1">
      <alignment horizontal="left" wrapText="1"/>
    </xf>
    <xf numFmtId="0" fontId="4" fillId="4" borderId="0" xfId="3" applyFont="1" applyFill="1" applyAlignment="1">
      <alignment horizontal="left" wrapText="1"/>
    </xf>
    <xf numFmtId="0" fontId="4" fillId="4" borderId="24" xfId="3" applyFont="1" applyFill="1" applyBorder="1" applyAlignment="1">
      <alignment horizontal="left" wrapText="1"/>
    </xf>
    <xf numFmtId="169" fontId="4" fillId="4" borderId="37" xfId="3" applyNumberFormat="1" applyFont="1" applyFill="1" applyBorder="1" applyAlignment="1">
      <alignment horizontal="left" wrapText="1"/>
    </xf>
    <xf numFmtId="169" fontId="4" fillId="4" borderId="2" xfId="3" applyNumberFormat="1" applyFont="1" applyFill="1" applyBorder="1" applyAlignment="1">
      <alignment horizontal="left" wrapText="1"/>
    </xf>
    <xf numFmtId="169" fontId="4" fillId="4" borderId="3" xfId="3" applyNumberFormat="1" applyFont="1" applyFill="1" applyBorder="1" applyAlignment="1">
      <alignment horizontal="left" wrapText="1"/>
    </xf>
    <xf numFmtId="169" fontId="3" fillId="4" borderId="25" xfId="3" applyNumberFormat="1" applyFill="1" applyBorder="1" applyAlignment="1">
      <alignment horizontal="left" wrapText="1"/>
    </xf>
    <xf numFmtId="169" fontId="3" fillId="4" borderId="0" xfId="3" applyNumberFormat="1" applyFill="1" applyAlignment="1">
      <alignment horizontal="left" wrapText="1"/>
    </xf>
    <xf numFmtId="169" fontId="3" fillId="4" borderId="5" xfId="3" applyNumberFormat="1" applyFill="1" applyBorder="1" applyAlignment="1">
      <alignment horizontal="left" wrapText="1"/>
    </xf>
    <xf numFmtId="10" fontId="3" fillId="0" borderId="0" xfId="2" applyNumberFormat="1" applyFont="1"/>
    <xf numFmtId="0" fontId="4" fillId="4" borderId="25" xfId="3" applyFont="1" applyFill="1" applyBorder="1" applyAlignment="1">
      <alignment horizontal="left" wrapText="1"/>
    </xf>
    <xf numFmtId="169" fontId="3" fillId="0" borderId="0" xfId="2" applyNumberFormat="1" applyFont="1"/>
    <xf numFmtId="169" fontId="4" fillId="0" borderId="37" xfId="3" applyNumberFormat="1" applyFont="1" applyBorder="1" applyAlignment="1">
      <alignment horizontal="left" wrapText="1"/>
    </xf>
    <xf numFmtId="169" fontId="19" fillId="4" borderId="25" xfId="3" applyNumberFormat="1" applyFont="1" applyFill="1" applyBorder="1" applyAlignment="1">
      <alignment horizontal="left" wrapText="1"/>
    </xf>
    <xf numFmtId="10" fontId="3" fillId="0" borderId="0" xfId="2" applyNumberFormat="1" applyFont="1" applyFill="1"/>
    <xf numFmtId="169" fontId="3" fillId="0" borderId="0" xfId="2" applyNumberFormat="1" applyFont="1" applyFill="1"/>
    <xf numFmtId="169" fontId="19" fillId="0" borderId="25" xfId="3" applyNumberFormat="1" applyFont="1" applyBorder="1" applyAlignment="1">
      <alignment horizontal="left" wrapText="1"/>
    </xf>
    <xf numFmtId="169" fontId="3" fillId="0" borderId="0" xfId="3" applyNumberFormat="1" applyAlignment="1">
      <alignment horizontal="left" wrapText="1"/>
    </xf>
    <xf numFmtId="169" fontId="4" fillId="0" borderId="0" xfId="3" applyNumberFormat="1" applyFont="1" applyAlignment="1">
      <alignment horizontal="left" wrapText="1"/>
    </xf>
    <xf numFmtId="0" fontId="4" fillId="4" borderId="5" xfId="3" applyFont="1" applyFill="1" applyBorder="1" applyAlignment="1">
      <alignment horizontal="left" wrapText="1"/>
    </xf>
    <xf numFmtId="0" fontId="4" fillId="4" borderId="23" xfId="3" applyFont="1" applyFill="1" applyBorder="1" applyAlignment="1">
      <alignment horizontal="left" wrapText="1" indent="13"/>
    </xf>
    <xf numFmtId="0" fontId="4" fillId="4" borderId="22" xfId="3" applyFont="1" applyFill="1" applyBorder="1" applyAlignment="1">
      <alignment horizontal="left" wrapText="1" indent="9"/>
    </xf>
    <xf numFmtId="0" fontId="4" fillId="4" borderId="63" xfId="3" applyFont="1" applyFill="1" applyBorder="1" applyAlignment="1">
      <alignment horizontal="left" wrapText="1" indent="9"/>
    </xf>
    <xf numFmtId="0" fontId="4" fillId="4" borderId="22" xfId="3" applyFont="1" applyFill="1" applyBorder="1" applyAlignment="1">
      <alignment horizontal="left" wrapText="1" indent="15"/>
    </xf>
    <xf numFmtId="0" fontId="4" fillId="4" borderId="21" xfId="3" applyFont="1" applyFill="1" applyBorder="1" applyAlignment="1">
      <alignment horizontal="left" wrapText="1"/>
    </xf>
    <xf numFmtId="0" fontId="9" fillId="3" borderId="3" xfId="3" applyFont="1" applyFill="1" applyBorder="1" applyAlignment="1">
      <alignment wrapText="1"/>
    </xf>
    <xf numFmtId="0" fontId="9" fillId="3" borderId="2" xfId="3" applyFont="1" applyFill="1" applyBorder="1" applyAlignment="1">
      <alignment wrapText="1"/>
    </xf>
    <xf numFmtId="9" fontId="49" fillId="0" borderId="0" xfId="7" applyNumberFormat="1" applyFont="1"/>
    <xf numFmtId="1" fontId="49" fillId="0" borderId="0" xfId="7" applyNumberFormat="1" applyFont="1"/>
    <xf numFmtId="0" fontId="35" fillId="32" borderId="14" xfId="0" applyFont="1" applyFill="1" applyBorder="1"/>
    <xf numFmtId="0" fontId="35" fillId="32" borderId="9" xfId="0" applyFont="1" applyFill="1" applyBorder="1"/>
    <xf numFmtId="0" fontId="35" fillId="32" borderId="13" xfId="0" applyFont="1" applyFill="1" applyBorder="1"/>
    <xf numFmtId="0" fontId="16" fillId="0" borderId="5" xfId="0" applyFont="1" applyBorder="1"/>
    <xf numFmtId="0" fontId="16" fillId="0" borderId="11" xfId="0" applyFont="1" applyBorder="1"/>
    <xf numFmtId="0" fontId="16" fillId="0" borderId="4" xfId="0" applyFont="1" applyBorder="1"/>
    <xf numFmtId="0" fontId="16" fillId="11" borderId="5" xfId="0" applyFont="1" applyFill="1" applyBorder="1"/>
    <xf numFmtId="0" fontId="16" fillId="11" borderId="11" xfId="0" applyFont="1" applyFill="1" applyBorder="1"/>
    <xf numFmtId="0" fontId="16" fillId="11" borderId="4" xfId="0" applyFont="1" applyFill="1" applyBorder="1"/>
    <xf numFmtId="0" fontId="35" fillId="32" borderId="64" xfId="0" applyFont="1" applyFill="1" applyBorder="1"/>
    <xf numFmtId="0" fontId="35" fillId="32" borderId="17" xfId="0" applyFont="1" applyFill="1" applyBorder="1"/>
    <xf numFmtId="0" fontId="35" fillId="32" borderId="35" xfId="0" applyFont="1" applyFill="1" applyBorder="1"/>
    <xf numFmtId="0" fontId="16" fillId="11" borderId="5" xfId="0" quotePrefix="1" applyFont="1" applyFill="1" applyBorder="1"/>
    <xf numFmtId="0" fontId="16" fillId="11" borderId="11" xfId="0" quotePrefix="1" applyFont="1" applyFill="1" applyBorder="1"/>
    <xf numFmtId="0" fontId="12" fillId="0" borderId="14" xfId="0" applyFont="1" applyBorder="1"/>
    <xf numFmtId="0" fontId="35" fillId="33" borderId="9" xfId="0" applyFont="1" applyFill="1" applyBorder="1"/>
    <xf numFmtId="9" fontId="0" fillId="0" borderId="0" xfId="0" applyNumberFormat="1"/>
    <xf numFmtId="10" fontId="0" fillId="0" borderId="0" xfId="2" applyNumberFormat="1" applyFont="1"/>
    <xf numFmtId="166" fontId="0" fillId="0" borderId="0" xfId="13" applyFont="1"/>
    <xf numFmtId="166" fontId="2" fillId="0" borderId="0" xfId="13" applyFont="1"/>
    <xf numFmtId="10" fontId="0" fillId="0" borderId="0" xfId="2" applyNumberFormat="1" applyFont="1" applyFill="1"/>
    <xf numFmtId="166" fontId="0" fillId="0" borderId="0" xfId="13" applyFont="1" applyFill="1"/>
    <xf numFmtId="2" fontId="0" fillId="0" borderId="0" xfId="2" applyNumberFormat="1" applyFont="1" applyFill="1"/>
    <xf numFmtId="0" fontId="2" fillId="0" borderId="0" xfId="0" applyFont="1"/>
    <xf numFmtId="0" fontId="89" fillId="0" borderId="0" xfId="0" applyFont="1" applyAlignment="1">
      <alignment horizontal="left" vertical="center" indent="1" readingOrder="1"/>
    </xf>
    <xf numFmtId="171" fontId="4" fillId="7" borderId="9" xfId="13" applyNumberFormat="1" applyFont="1" applyFill="1" applyBorder="1"/>
    <xf numFmtId="171" fontId="4" fillId="7" borderId="15" xfId="13" applyNumberFormat="1" applyFont="1" applyFill="1" applyBorder="1"/>
    <xf numFmtId="167" fontId="4" fillId="7" borderId="9" xfId="13" applyNumberFormat="1" applyFont="1" applyFill="1" applyBorder="1"/>
    <xf numFmtId="171" fontId="0" fillId="0" borderId="11" xfId="13" applyNumberFormat="1" applyFont="1" applyBorder="1"/>
    <xf numFmtId="171" fontId="0" fillId="0" borderId="0" xfId="13" applyNumberFormat="1" applyFont="1" applyBorder="1"/>
    <xf numFmtId="167" fontId="0" fillId="0" borderId="11" xfId="13" applyNumberFormat="1" applyFont="1" applyBorder="1"/>
    <xf numFmtId="171" fontId="0" fillId="0" borderId="10" xfId="13" applyNumberFormat="1" applyFont="1" applyBorder="1"/>
    <xf numFmtId="171" fontId="0" fillId="0" borderId="7" xfId="13" applyNumberFormat="1" applyFont="1" applyBorder="1"/>
    <xf numFmtId="167" fontId="0" fillId="0" borderId="10" xfId="13" applyNumberFormat="1" applyFont="1" applyBorder="1"/>
    <xf numFmtId="171" fontId="0" fillId="7" borderId="18" xfId="13" applyNumberFormat="1" applyFont="1" applyFill="1" applyBorder="1"/>
    <xf numFmtId="171" fontId="0" fillId="7" borderId="20" xfId="13" applyNumberFormat="1" applyFont="1" applyFill="1" applyBorder="1"/>
    <xf numFmtId="167" fontId="0" fillId="7" borderId="18" xfId="13" applyNumberFormat="1" applyFont="1" applyFill="1" applyBorder="1"/>
    <xf numFmtId="171" fontId="0" fillId="0" borderId="5" xfId="13" applyNumberFormat="1" applyFont="1" applyBorder="1"/>
    <xf numFmtId="171" fontId="0" fillId="7" borderId="19" xfId="13" applyNumberFormat="1" applyFont="1" applyFill="1" applyBorder="1"/>
    <xf numFmtId="171" fontId="0" fillId="0" borderId="20" xfId="13" applyNumberFormat="1" applyFont="1" applyBorder="1"/>
    <xf numFmtId="167" fontId="0" fillId="0" borderId="18" xfId="13" applyNumberFormat="1" applyFont="1" applyBorder="1"/>
    <xf numFmtId="167" fontId="0" fillId="0" borderId="5" xfId="13" applyNumberFormat="1" applyFont="1" applyBorder="1"/>
    <xf numFmtId="167" fontId="0" fillId="0" borderId="0" xfId="13" applyNumberFormat="1" applyFont="1" applyBorder="1"/>
    <xf numFmtId="167" fontId="4" fillId="7" borderId="19" xfId="13" applyNumberFormat="1" applyFont="1" applyFill="1" applyBorder="1" applyAlignment="1">
      <alignment horizontal="center" wrapText="1"/>
    </xf>
    <xf numFmtId="167" fontId="4" fillId="7" borderId="18" xfId="13" applyNumberFormat="1" applyFont="1" applyFill="1" applyBorder="1" applyAlignment="1">
      <alignment horizontal="center" wrapText="1"/>
    </xf>
    <xf numFmtId="167" fontId="4" fillId="7" borderId="20" xfId="13" applyNumberFormat="1" applyFont="1" applyFill="1" applyBorder="1" applyAlignment="1">
      <alignment horizontal="center" wrapText="1"/>
    </xf>
    <xf numFmtId="0" fontId="35" fillId="6" borderId="9" xfId="0" applyFont="1" applyFill="1" applyBorder="1" applyAlignment="1">
      <alignment vertical="center" wrapText="1"/>
    </xf>
    <xf numFmtId="171" fontId="40" fillId="0" borderId="9" xfId="13" applyNumberFormat="1" applyFont="1" applyFill="1" applyBorder="1"/>
    <xf numFmtId="167" fontId="40" fillId="0" borderId="13" xfId="13" applyNumberFormat="1" applyFont="1" applyFill="1" applyBorder="1"/>
    <xf numFmtId="167" fontId="0" fillId="0" borderId="4" xfId="13" applyNumberFormat="1" applyFont="1" applyBorder="1"/>
    <xf numFmtId="171" fontId="0" fillId="4" borderId="11" xfId="13" applyNumberFormat="1" applyFont="1" applyFill="1" applyBorder="1"/>
    <xf numFmtId="167" fontId="0" fillId="31" borderId="4" xfId="13" applyNumberFormat="1" applyFont="1" applyFill="1" applyBorder="1"/>
    <xf numFmtId="171" fontId="0" fillId="5" borderId="0" xfId="0" applyNumberFormat="1" applyFill="1"/>
    <xf numFmtId="167" fontId="0" fillId="4" borderId="4" xfId="13" applyNumberFormat="1" applyFont="1" applyFill="1" applyBorder="1"/>
    <xf numFmtId="171" fontId="40" fillId="7" borderId="17" xfId="13" applyNumberFormat="1" applyFont="1" applyFill="1" applyBorder="1"/>
    <xf numFmtId="167" fontId="40" fillId="7" borderId="35" xfId="13" applyNumberFormat="1" applyFont="1" applyFill="1" applyBorder="1"/>
    <xf numFmtId="0" fontId="4" fillId="0" borderId="9" xfId="13" applyNumberFormat="1" applyFont="1" applyBorder="1" applyAlignment="1">
      <alignment horizontal="center"/>
    </xf>
    <xf numFmtId="0" fontId="90" fillId="16" borderId="0" xfId="0" applyFont="1" applyFill="1"/>
    <xf numFmtId="0" fontId="90" fillId="0" borderId="0" xfId="0" applyFont="1"/>
    <xf numFmtId="166" fontId="90" fillId="0" borderId="0" xfId="13" applyFont="1"/>
    <xf numFmtId="166" fontId="15" fillId="0" borderId="0" xfId="13" applyFont="1"/>
    <xf numFmtId="10" fontId="90" fillId="0" borderId="0" xfId="2" applyNumberFormat="1" applyFont="1"/>
    <xf numFmtId="43" fontId="90" fillId="0" borderId="0" xfId="0" applyNumberFormat="1" applyFont="1"/>
    <xf numFmtId="0" fontId="71" fillId="16" borderId="21" xfId="3" applyFont="1" applyFill="1" applyBorder="1" applyAlignment="1">
      <alignment horizontal="center"/>
    </xf>
    <xf numFmtId="9" fontId="0" fillId="0" borderId="0" xfId="2" applyFont="1"/>
    <xf numFmtId="9" fontId="0" fillId="0" borderId="0" xfId="2" applyFont="1" applyAlignment="1">
      <alignment horizontal="left"/>
    </xf>
    <xf numFmtId="172" fontId="0" fillId="0" borderId="0" xfId="2" applyNumberFormat="1" applyFont="1" applyAlignment="1">
      <alignment horizontal="left"/>
    </xf>
    <xf numFmtId="0" fontId="3" fillId="3" borderId="1" xfId="3" applyFill="1" applyBorder="1" applyAlignment="1">
      <alignment horizontal="left" vertical="top" wrapText="1"/>
    </xf>
    <xf numFmtId="0" fontId="3" fillId="3" borderId="2" xfId="3" applyFill="1" applyBorder="1" applyAlignment="1">
      <alignment horizontal="left" vertical="top" wrapText="1"/>
    </xf>
    <xf numFmtId="0" fontId="3" fillId="3" borderId="3" xfId="3" applyFill="1" applyBorder="1" applyAlignment="1">
      <alignment horizontal="left" vertical="top" wrapText="1"/>
    </xf>
    <xf numFmtId="0" fontId="3" fillId="3" borderId="4" xfId="3" applyFill="1" applyBorder="1" applyAlignment="1">
      <alignment horizontal="left" vertical="top" wrapText="1"/>
    </xf>
    <xf numFmtId="0" fontId="3" fillId="3" borderId="0" xfId="3" applyFill="1" applyAlignment="1">
      <alignment horizontal="left" vertical="top" wrapText="1"/>
    </xf>
    <xf numFmtId="0" fontId="3" fillId="3" borderId="5" xfId="3" applyFill="1" applyBorder="1" applyAlignment="1">
      <alignment horizontal="left" vertical="top" wrapText="1"/>
    </xf>
    <xf numFmtId="0" fontId="3" fillId="3" borderId="6" xfId="3" applyFill="1" applyBorder="1" applyAlignment="1">
      <alignment horizontal="left" vertical="top" wrapText="1"/>
    </xf>
    <xf numFmtId="0" fontId="3" fillId="3" borderId="7" xfId="3" applyFill="1" applyBorder="1" applyAlignment="1">
      <alignment horizontal="left" vertical="top" wrapText="1"/>
    </xf>
    <xf numFmtId="0" fontId="3" fillId="3" borderId="8" xfId="3" applyFill="1" applyBorder="1" applyAlignment="1">
      <alignment horizontal="left" vertical="top" wrapText="1"/>
    </xf>
    <xf numFmtId="0" fontId="3" fillId="3" borderId="4" xfId="0" applyFont="1" applyFill="1" applyBorder="1" applyAlignment="1">
      <alignment horizontal="left" vertical="top" wrapText="1"/>
    </xf>
    <xf numFmtId="0" fontId="3" fillId="3" borderId="0" xfId="0" applyFont="1" applyFill="1" applyAlignment="1">
      <alignment horizontal="left" vertical="top" wrapText="1"/>
    </xf>
    <xf numFmtId="0" fontId="50" fillId="3" borderId="4" xfId="0" applyFont="1" applyFill="1" applyBorder="1" applyAlignment="1">
      <alignment horizontal="left" vertical="top"/>
    </xf>
    <xf numFmtId="0" fontId="50" fillId="3" borderId="0" xfId="0" applyFont="1" applyFill="1" applyAlignment="1">
      <alignment horizontal="left" vertical="top"/>
    </xf>
    <xf numFmtId="0" fontId="13" fillId="3" borderId="1" xfId="0" applyFont="1" applyFill="1" applyBorder="1" applyAlignment="1">
      <alignment horizontal="left" vertical="top" wrapText="1"/>
    </xf>
    <xf numFmtId="0" fontId="13" fillId="3" borderId="2" xfId="0" applyFont="1" applyFill="1" applyBorder="1" applyAlignment="1">
      <alignment horizontal="left" vertical="top" wrapText="1"/>
    </xf>
    <xf numFmtId="0" fontId="0" fillId="3" borderId="40" xfId="0" applyFill="1" applyBorder="1" applyAlignment="1">
      <alignment horizontal="left" vertical="top" wrapText="1"/>
    </xf>
    <xf numFmtId="0" fontId="0" fillId="3" borderId="41" xfId="0" applyFill="1" applyBorder="1" applyAlignment="1">
      <alignment horizontal="left" vertical="top" wrapText="1"/>
    </xf>
    <xf numFmtId="0" fontId="0" fillId="3" borderId="42" xfId="0" applyFill="1" applyBorder="1" applyAlignment="1">
      <alignment horizontal="left" vertical="top" wrapText="1"/>
    </xf>
    <xf numFmtId="0" fontId="0" fillId="3" borderId="0" xfId="0" applyFill="1" applyAlignment="1">
      <alignment horizontal="left" vertical="top" wrapText="1"/>
    </xf>
    <xf numFmtId="0" fontId="0" fillId="3" borderId="22" xfId="0" applyFill="1" applyBorder="1" applyAlignment="1">
      <alignment horizontal="left" vertical="top" wrapText="1"/>
    </xf>
    <xf numFmtId="0" fontId="0" fillId="3" borderId="6" xfId="0" applyFill="1" applyBorder="1" applyAlignment="1">
      <alignment horizontal="left" vertical="top" wrapText="1"/>
    </xf>
    <xf numFmtId="0" fontId="0" fillId="3" borderId="7" xfId="0" applyFill="1" applyBorder="1" applyAlignment="1">
      <alignment horizontal="left" vertical="top" wrapText="1"/>
    </xf>
    <xf numFmtId="0" fontId="0" fillId="3" borderId="8" xfId="0" applyFill="1" applyBorder="1" applyAlignment="1">
      <alignment horizontal="left" vertical="top" wrapText="1"/>
    </xf>
    <xf numFmtId="0" fontId="69" fillId="34" borderId="7" xfId="0" applyFont="1" applyFill="1" applyBorder="1" applyAlignment="1">
      <alignment horizontal="left"/>
    </xf>
    <xf numFmtId="0" fontId="0" fillId="3" borderId="1" xfId="0" applyFill="1" applyBorder="1" applyAlignment="1">
      <alignment horizontal="left" vertical="top" wrapText="1"/>
    </xf>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0" fillId="3" borderId="4" xfId="0" applyFill="1" applyBorder="1" applyAlignment="1">
      <alignment horizontal="left" vertical="top" wrapText="1"/>
    </xf>
    <xf numFmtId="0" fontId="0" fillId="3" borderId="5" xfId="0" applyFill="1" applyBorder="1" applyAlignment="1">
      <alignment horizontal="left" vertical="top" wrapText="1"/>
    </xf>
    <xf numFmtId="0" fontId="52" fillId="16" borderId="0" xfId="0" applyFont="1" applyFill="1" applyAlignment="1">
      <alignment horizontal="left" wrapText="1"/>
    </xf>
    <xf numFmtId="0" fontId="11" fillId="4" borderId="0" xfId="3" applyFont="1" applyFill="1" applyAlignment="1">
      <alignment horizontal="left" wrapText="1"/>
    </xf>
    <xf numFmtId="0" fontId="3" fillId="0" borderId="0" xfId="3" applyAlignment="1">
      <alignment horizontal="left" wrapText="1"/>
    </xf>
    <xf numFmtId="0" fontId="4" fillId="4" borderId="13" xfId="3" applyFont="1" applyFill="1" applyBorder="1" applyAlignment="1">
      <alignment horizontal="left" wrapText="1"/>
    </xf>
    <xf numFmtId="0" fontId="4" fillId="4" borderId="14" xfId="3" applyFont="1" applyFill="1" applyBorder="1" applyAlignment="1">
      <alignment horizontal="left" wrapText="1"/>
    </xf>
    <xf numFmtId="0" fontId="12" fillId="17" borderId="13" xfId="0" applyFont="1" applyFill="1" applyBorder="1"/>
    <xf numFmtId="0" fontId="12" fillId="17" borderId="15" xfId="0" applyFont="1" applyFill="1" applyBorder="1"/>
    <xf numFmtId="0" fontId="12" fillId="17" borderId="36" xfId="0" applyFont="1" applyFill="1" applyBorder="1"/>
    <xf numFmtId="0" fontId="42" fillId="3" borderId="1" xfId="3" applyFont="1" applyFill="1" applyBorder="1" applyAlignment="1">
      <alignment horizontal="left" vertical="top" wrapText="1"/>
    </xf>
    <xf numFmtId="0" fontId="16" fillId="3" borderId="1" xfId="3" applyFont="1" applyFill="1" applyBorder="1" applyAlignment="1">
      <alignment horizontal="left" vertical="top" wrapText="1"/>
    </xf>
    <xf numFmtId="0" fontId="9" fillId="3" borderId="2" xfId="3" applyFont="1" applyFill="1" applyBorder="1" applyAlignment="1">
      <alignment horizontal="left" vertical="top" wrapText="1"/>
    </xf>
    <xf numFmtId="0" fontId="9" fillId="3" borderId="3" xfId="3" applyFont="1" applyFill="1" applyBorder="1" applyAlignment="1">
      <alignment horizontal="left" vertical="top" wrapText="1"/>
    </xf>
    <xf numFmtId="0" fontId="9" fillId="3" borderId="4" xfId="3" applyFont="1" applyFill="1" applyBorder="1" applyAlignment="1">
      <alignment horizontal="left" vertical="top" wrapText="1"/>
    </xf>
    <xf numFmtId="0" fontId="9" fillId="3" borderId="0" xfId="3" applyFont="1" applyFill="1" applyAlignment="1">
      <alignment horizontal="left" vertical="top" wrapText="1"/>
    </xf>
    <xf numFmtId="0" fontId="9" fillId="3" borderId="5" xfId="3" applyFont="1" applyFill="1" applyBorder="1" applyAlignment="1">
      <alignment horizontal="left" vertical="top" wrapText="1"/>
    </xf>
    <xf numFmtId="0" fontId="9" fillId="3" borderId="6" xfId="3" applyFont="1" applyFill="1" applyBorder="1" applyAlignment="1">
      <alignment horizontal="left" vertical="top" wrapText="1"/>
    </xf>
    <xf numFmtId="0" fontId="9" fillId="3" borderId="7" xfId="3" applyFont="1" applyFill="1" applyBorder="1" applyAlignment="1">
      <alignment horizontal="left" vertical="top" wrapText="1"/>
    </xf>
    <xf numFmtId="0" fontId="9" fillId="3" borderId="8" xfId="3" applyFont="1" applyFill="1" applyBorder="1" applyAlignment="1">
      <alignment horizontal="left" vertical="top" wrapText="1"/>
    </xf>
    <xf numFmtId="0" fontId="12" fillId="14" borderId="1" xfId="0" applyFont="1" applyFill="1" applyBorder="1" applyAlignment="1">
      <alignment vertical="top" wrapText="1"/>
    </xf>
    <xf numFmtId="0" fontId="12" fillId="14" borderId="2" xfId="0" applyFont="1" applyFill="1" applyBorder="1" applyAlignment="1">
      <alignment vertical="top" wrapText="1"/>
    </xf>
    <xf numFmtId="0" fontId="12" fillId="14" borderId="30" xfId="0" applyFont="1" applyFill="1" applyBorder="1" applyAlignment="1">
      <alignment vertical="top" wrapText="1"/>
    </xf>
    <xf numFmtId="0" fontId="12" fillId="14" borderId="4" xfId="0" applyFont="1" applyFill="1" applyBorder="1" applyAlignment="1">
      <alignment vertical="top" wrapText="1"/>
    </xf>
    <xf numFmtId="0" fontId="12" fillId="14" borderId="0" xfId="0" applyFont="1" applyFill="1" applyAlignment="1">
      <alignment vertical="top" wrapText="1"/>
    </xf>
    <xf numFmtId="0" fontId="12" fillId="14" borderId="31" xfId="0" applyFont="1" applyFill="1" applyBorder="1" applyAlignment="1">
      <alignment vertical="top" wrapText="1"/>
    </xf>
    <xf numFmtId="0" fontId="12" fillId="14" borderId="32" xfId="0" applyFont="1" applyFill="1" applyBorder="1" applyAlignment="1">
      <alignment vertical="top" wrapText="1"/>
    </xf>
    <xf numFmtId="0" fontId="12" fillId="14" borderId="33" xfId="0" applyFont="1" applyFill="1" applyBorder="1" applyAlignment="1">
      <alignment vertical="top" wrapText="1"/>
    </xf>
    <xf numFmtId="0" fontId="12" fillId="14" borderId="34" xfId="0" applyFont="1" applyFill="1" applyBorder="1" applyAlignment="1">
      <alignment vertical="top" wrapText="1"/>
    </xf>
    <xf numFmtId="0" fontId="12" fillId="17" borderId="13" xfId="0" applyFont="1" applyFill="1" applyBorder="1" applyAlignment="1">
      <alignment wrapText="1"/>
    </xf>
    <xf numFmtId="0" fontId="12" fillId="17" borderId="15" xfId="0" applyFont="1" applyFill="1" applyBorder="1" applyAlignment="1">
      <alignment wrapText="1"/>
    </xf>
    <xf numFmtId="0" fontId="12" fillId="17" borderId="14" xfId="0" applyFont="1" applyFill="1" applyBorder="1" applyAlignment="1">
      <alignment wrapText="1"/>
    </xf>
    <xf numFmtId="0" fontId="3" fillId="3" borderId="40" xfId="0" applyFont="1" applyFill="1" applyBorder="1" applyAlignment="1">
      <alignment horizontal="left" vertical="top" wrapText="1"/>
    </xf>
    <xf numFmtId="0" fontId="3" fillId="3" borderId="41" xfId="0" applyFont="1" applyFill="1" applyBorder="1" applyAlignment="1">
      <alignment horizontal="left" vertical="top" wrapText="1"/>
    </xf>
    <xf numFmtId="0" fontId="3" fillId="3" borderId="42" xfId="0" applyFont="1" applyFill="1" applyBorder="1" applyAlignment="1">
      <alignment horizontal="left" vertical="top" wrapText="1"/>
    </xf>
    <xf numFmtId="0" fontId="52" fillId="16" borderId="40" xfId="0" applyFont="1" applyFill="1" applyBorder="1" applyAlignment="1">
      <alignment horizontal="left" wrapText="1"/>
    </xf>
    <xf numFmtId="0" fontId="52" fillId="16" borderId="41" xfId="0" applyFont="1" applyFill="1" applyBorder="1" applyAlignment="1">
      <alignment horizontal="left" wrapText="1"/>
    </xf>
    <xf numFmtId="0" fontId="52" fillId="16" borderId="42" xfId="0" applyFont="1" applyFill="1" applyBorder="1" applyAlignment="1">
      <alignment horizontal="left" wrapText="1"/>
    </xf>
    <xf numFmtId="0" fontId="53" fillId="16" borderId="62" xfId="0" applyFont="1" applyFill="1" applyBorder="1" applyAlignment="1">
      <alignment horizontal="center" vertical="center"/>
    </xf>
    <xf numFmtId="0" fontId="9" fillId="3" borderId="1" xfId="3" applyFont="1" applyFill="1" applyBorder="1" applyAlignment="1">
      <alignment horizontal="left" wrapText="1"/>
    </xf>
    <xf numFmtId="0" fontId="9" fillId="3" borderId="2" xfId="3" applyFont="1" applyFill="1" applyBorder="1" applyAlignment="1">
      <alignment horizontal="left" wrapText="1"/>
    </xf>
    <xf numFmtId="0" fontId="50" fillId="3" borderId="1" xfId="0" applyFont="1" applyFill="1" applyBorder="1" applyAlignment="1">
      <alignment horizontal="left" vertical="top" wrapText="1"/>
    </xf>
    <xf numFmtId="0" fontId="50" fillId="3" borderId="2" xfId="0" applyFont="1" applyFill="1" applyBorder="1" applyAlignment="1">
      <alignment horizontal="left" vertical="top" wrapText="1"/>
    </xf>
    <xf numFmtId="0" fontId="19" fillId="3" borderId="4" xfId="0" applyFont="1" applyFill="1" applyBorder="1" applyAlignment="1">
      <alignment horizontal="left" vertical="top" wrapText="1"/>
    </xf>
    <xf numFmtId="0" fontId="19" fillId="3" borderId="0" xfId="0" applyFont="1" applyFill="1" applyAlignment="1">
      <alignment horizontal="left" vertical="top" wrapText="1"/>
    </xf>
    <xf numFmtId="0" fontId="19" fillId="3" borderId="5" xfId="0" applyFont="1" applyFill="1" applyBorder="1" applyAlignment="1">
      <alignment horizontal="left" vertical="top" wrapText="1"/>
    </xf>
    <xf numFmtId="0" fontId="19" fillId="3" borderId="40" xfId="0" applyFont="1" applyFill="1" applyBorder="1" applyAlignment="1">
      <alignment horizontal="left" vertical="top" wrapText="1"/>
    </xf>
    <xf numFmtId="0" fontId="19" fillId="3" borderId="41" xfId="0" applyFont="1" applyFill="1" applyBorder="1" applyAlignment="1">
      <alignment horizontal="left" vertical="top" wrapText="1"/>
    </xf>
    <xf numFmtId="0" fontId="19" fillId="3" borderId="42" xfId="0" applyFont="1" applyFill="1" applyBorder="1" applyAlignment="1">
      <alignment horizontal="left" vertical="top" wrapText="1"/>
    </xf>
    <xf numFmtId="0" fontId="3" fillId="3" borderId="5" xfId="0" applyFont="1" applyFill="1" applyBorder="1" applyAlignment="1">
      <alignment horizontal="left" vertical="top" wrapText="1"/>
    </xf>
    <xf numFmtId="0" fontId="3" fillId="3" borderId="6" xfId="0" applyFont="1" applyFill="1" applyBorder="1" applyAlignment="1">
      <alignment horizontal="left" vertical="top" wrapText="1"/>
    </xf>
    <xf numFmtId="0" fontId="3" fillId="3" borderId="7" xfId="0" applyFont="1" applyFill="1" applyBorder="1" applyAlignment="1">
      <alignment horizontal="left" vertical="top" wrapText="1"/>
    </xf>
    <xf numFmtId="0" fontId="13" fillId="3" borderId="3" xfId="0" applyFont="1" applyFill="1" applyBorder="1" applyAlignment="1">
      <alignment horizontal="left" vertical="top" wrapText="1"/>
    </xf>
    <xf numFmtId="0" fontId="87" fillId="3" borderId="4" xfId="0" applyFont="1" applyFill="1" applyBorder="1" applyAlignment="1">
      <alignment horizontal="left" vertical="top" wrapText="1"/>
    </xf>
    <xf numFmtId="0" fontId="87" fillId="3" borderId="0" xfId="0" applyFont="1" applyFill="1" applyAlignment="1">
      <alignment horizontal="left" vertical="top" wrapText="1"/>
    </xf>
    <xf numFmtId="0" fontId="87" fillId="3" borderId="5" xfId="0" applyFont="1" applyFill="1" applyBorder="1" applyAlignment="1">
      <alignment horizontal="left" vertical="top" wrapText="1"/>
    </xf>
    <xf numFmtId="0" fontId="70" fillId="3" borderId="6" xfId="0" applyFont="1" applyFill="1" applyBorder="1" applyAlignment="1">
      <alignment horizontal="left" vertical="top" wrapText="1"/>
    </xf>
    <xf numFmtId="0" fontId="70" fillId="3" borderId="7" xfId="0" applyFont="1" applyFill="1" applyBorder="1" applyAlignment="1">
      <alignment horizontal="left" vertical="top" wrapText="1"/>
    </xf>
    <xf numFmtId="0" fontId="70" fillId="3" borderId="8" xfId="0" applyFont="1" applyFill="1" applyBorder="1" applyAlignment="1">
      <alignment horizontal="left" vertical="top" wrapText="1"/>
    </xf>
    <xf numFmtId="0" fontId="4" fillId="16" borderId="0" xfId="0" applyFont="1" applyFill="1" applyAlignment="1">
      <alignment horizontal="left" wrapText="1"/>
    </xf>
    <xf numFmtId="0" fontId="4" fillId="16" borderId="24" xfId="0" applyFont="1" applyFill="1" applyBorder="1" applyAlignment="1">
      <alignment horizontal="left" wrapText="1"/>
    </xf>
    <xf numFmtId="0" fontId="12" fillId="16" borderId="62" xfId="0" applyFont="1" applyFill="1" applyBorder="1" applyAlignment="1">
      <alignment horizontal="center" vertical="center"/>
    </xf>
    <xf numFmtId="0" fontId="50" fillId="3" borderId="3" xfId="0" applyFont="1" applyFill="1" applyBorder="1" applyAlignment="1">
      <alignment horizontal="left" vertical="top" wrapText="1"/>
    </xf>
    <xf numFmtId="0" fontId="3" fillId="3" borderId="13" xfId="0" applyFont="1" applyFill="1" applyBorder="1" applyAlignment="1">
      <alignment horizontal="left" vertical="top" wrapText="1"/>
    </xf>
    <xf numFmtId="0" fontId="3" fillId="3" borderId="15" xfId="0" applyFont="1" applyFill="1" applyBorder="1" applyAlignment="1">
      <alignment horizontal="left" vertical="top" wrapText="1"/>
    </xf>
    <xf numFmtId="0" fontId="3" fillId="3" borderId="14" xfId="0" applyFont="1" applyFill="1" applyBorder="1" applyAlignment="1">
      <alignment horizontal="left" vertical="top" wrapText="1"/>
    </xf>
    <xf numFmtId="0" fontId="3" fillId="3" borderId="9" xfId="0" applyFont="1" applyFill="1" applyBorder="1" applyAlignment="1">
      <alignment horizontal="left" vertical="top" wrapText="1"/>
    </xf>
    <xf numFmtId="0" fontId="45" fillId="3" borderId="2" xfId="0" applyFont="1" applyFill="1" applyBorder="1" applyAlignment="1">
      <alignment horizontal="left" vertical="top" wrapText="1"/>
    </xf>
    <xf numFmtId="0" fontId="0" fillId="3" borderId="2" xfId="0" applyFill="1" applyBorder="1" applyAlignment="1">
      <alignment horizontal="left" vertical="top"/>
    </xf>
    <xf numFmtId="0" fontId="0" fillId="3" borderId="0" xfId="0" applyFill="1" applyAlignment="1">
      <alignment horizontal="left" vertical="top"/>
    </xf>
    <xf numFmtId="0" fontId="19" fillId="3" borderId="24" xfId="0" applyFont="1" applyFill="1" applyBorder="1" applyAlignment="1">
      <alignment horizontal="left" vertical="top"/>
    </xf>
    <xf numFmtId="0" fontId="19" fillId="3" borderId="0" xfId="0" applyFont="1" applyFill="1" applyAlignment="1">
      <alignment horizontal="left" vertical="top"/>
    </xf>
    <xf numFmtId="0" fontId="19" fillId="3" borderId="25" xfId="0" applyFont="1" applyFill="1" applyBorder="1" applyAlignment="1">
      <alignment horizontal="left" vertical="top"/>
    </xf>
    <xf numFmtId="0" fontId="0" fillId="3" borderId="24" xfId="0" applyFill="1" applyBorder="1" applyAlignment="1">
      <alignment horizontal="left" vertical="top" wrapText="1"/>
    </xf>
    <xf numFmtId="0" fontId="0" fillId="3" borderId="25" xfId="0" applyFill="1" applyBorder="1" applyAlignment="1">
      <alignment horizontal="left" vertical="top" wrapText="1"/>
    </xf>
    <xf numFmtId="0" fontId="0" fillId="3" borderId="26" xfId="0" applyFill="1" applyBorder="1" applyAlignment="1">
      <alignment horizontal="left" vertical="top" wrapText="1"/>
    </xf>
    <xf numFmtId="0" fontId="0" fillId="3" borderId="27" xfId="0" applyFill="1" applyBorder="1" applyAlignment="1">
      <alignment horizontal="left" vertical="top" wrapText="1"/>
    </xf>
    <xf numFmtId="0" fontId="0" fillId="3" borderId="28" xfId="0" applyFill="1" applyBorder="1" applyAlignment="1">
      <alignment horizontal="left" vertical="top" wrapText="1"/>
    </xf>
    <xf numFmtId="0" fontId="5" fillId="3" borderId="13" xfId="0" applyFont="1" applyFill="1" applyBorder="1" applyAlignment="1">
      <alignment horizontal="left" vertical="center"/>
    </xf>
    <xf numFmtId="0" fontId="5" fillId="3" borderId="14" xfId="0" applyFont="1" applyFill="1" applyBorder="1" applyAlignment="1">
      <alignment horizontal="left" vertical="center"/>
    </xf>
    <xf numFmtId="0" fontId="44" fillId="3" borderId="1" xfId="0" applyFont="1" applyFill="1" applyBorder="1" applyAlignment="1">
      <alignment horizontal="left" vertical="top" wrapText="1"/>
    </xf>
    <xf numFmtId="0" fontId="8" fillId="3" borderId="2" xfId="0" applyFont="1" applyFill="1" applyBorder="1" applyAlignment="1">
      <alignment horizontal="left" vertical="top"/>
    </xf>
    <xf numFmtId="0" fontId="8" fillId="3" borderId="3" xfId="0" applyFont="1" applyFill="1" applyBorder="1" applyAlignment="1">
      <alignment horizontal="left" vertical="top"/>
    </xf>
    <xf numFmtId="0" fontId="8" fillId="3" borderId="4" xfId="0" applyFont="1" applyFill="1" applyBorder="1" applyAlignment="1">
      <alignment horizontal="left" vertical="top"/>
    </xf>
    <xf numFmtId="0" fontId="8" fillId="3" borderId="0" xfId="0" applyFont="1" applyFill="1" applyAlignment="1">
      <alignment horizontal="left" vertical="top"/>
    </xf>
    <xf numFmtId="0" fontId="8" fillId="3" borderId="5" xfId="0" applyFont="1" applyFill="1" applyBorder="1" applyAlignment="1">
      <alignment horizontal="left" vertical="top"/>
    </xf>
    <xf numFmtId="0" fontId="8" fillId="3" borderId="6" xfId="0" applyFont="1" applyFill="1" applyBorder="1" applyAlignment="1">
      <alignment horizontal="left" vertical="top"/>
    </xf>
    <xf numFmtId="0" fontId="8" fillId="3" borderId="7" xfId="0" applyFont="1" applyFill="1" applyBorder="1" applyAlignment="1">
      <alignment horizontal="left" vertical="top"/>
    </xf>
    <xf numFmtId="0" fontId="8" fillId="3" borderId="8" xfId="0" applyFont="1" applyFill="1" applyBorder="1" applyAlignment="1">
      <alignment horizontal="left" vertical="top"/>
    </xf>
    <xf numFmtId="0" fontId="16" fillId="3" borderId="1" xfId="0" applyFont="1" applyFill="1" applyBorder="1" applyAlignment="1">
      <alignment horizontal="left" vertical="top" wrapText="1"/>
    </xf>
    <xf numFmtId="0" fontId="9" fillId="3" borderId="2" xfId="0" applyFont="1" applyFill="1" applyBorder="1" applyAlignment="1">
      <alignment horizontal="left" vertical="top" wrapText="1"/>
    </xf>
    <xf numFmtId="0" fontId="9" fillId="3" borderId="3" xfId="0" applyFont="1" applyFill="1" applyBorder="1" applyAlignment="1">
      <alignment horizontal="left" vertical="top" wrapText="1"/>
    </xf>
    <xf numFmtId="0" fontId="9" fillId="3" borderId="4" xfId="0" applyFont="1" applyFill="1" applyBorder="1" applyAlignment="1">
      <alignment horizontal="left" vertical="top" wrapText="1"/>
    </xf>
    <xf numFmtId="0" fontId="9" fillId="3" borderId="0" xfId="0" applyFont="1" applyFill="1" applyAlignment="1">
      <alignment horizontal="left" vertical="top" wrapText="1"/>
    </xf>
    <xf numFmtId="0" fontId="9" fillId="3" borderId="5" xfId="0" applyFont="1" applyFill="1" applyBorder="1" applyAlignment="1">
      <alignment horizontal="left" vertical="top" wrapText="1"/>
    </xf>
    <xf numFmtId="0" fontId="9" fillId="3" borderId="6" xfId="0" applyFont="1" applyFill="1" applyBorder="1" applyAlignment="1">
      <alignment horizontal="left" vertical="top" wrapText="1"/>
    </xf>
    <xf numFmtId="0" fontId="9" fillId="3" borderId="7" xfId="0" applyFont="1" applyFill="1" applyBorder="1" applyAlignment="1">
      <alignment horizontal="left" vertical="top" wrapText="1"/>
    </xf>
    <xf numFmtId="0" fontId="9" fillId="3" borderId="8" xfId="0" applyFont="1" applyFill="1" applyBorder="1" applyAlignment="1">
      <alignment horizontal="left" vertical="top" wrapText="1"/>
    </xf>
    <xf numFmtId="0" fontId="34" fillId="3" borderId="1" xfId="3" applyFont="1" applyFill="1" applyBorder="1" applyAlignment="1">
      <alignment horizontal="left" vertical="top" wrapText="1"/>
    </xf>
    <xf numFmtId="0" fontId="10" fillId="3" borderId="7" xfId="0" applyFont="1" applyFill="1" applyBorder="1" applyAlignment="1">
      <alignment horizontal="left" vertical="top" wrapText="1"/>
    </xf>
    <xf numFmtId="0" fontId="10" fillId="3" borderId="7" xfId="0" applyFont="1" applyFill="1" applyBorder="1" applyAlignment="1">
      <alignment horizontal="left" vertical="top"/>
    </xf>
    <xf numFmtId="0" fontId="10" fillId="3" borderId="15" xfId="0" applyFont="1" applyFill="1" applyBorder="1" applyAlignment="1">
      <alignment horizontal="left" vertical="center" wrapText="1"/>
    </xf>
    <xf numFmtId="0" fontId="12" fillId="17" borderId="36" xfId="0" applyFont="1" applyFill="1" applyBorder="1" applyAlignment="1">
      <alignment wrapText="1"/>
    </xf>
    <xf numFmtId="0" fontId="10" fillId="3" borderId="13" xfId="0" applyFont="1" applyFill="1" applyBorder="1" applyAlignment="1">
      <alignment horizontal="left" vertical="center" wrapText="1"/>
    </xf>
    <xf numFmtId="0" fontId="10" fillId="3" borderId="14" xfId="0" applyFont="1" applyFill="1" applyBorder="1" applyAlignment="1">
      <alignment horizontal="left" vertical="center" wrapText="1"/>
    </xf>
    <xf numFmtId="0" fontId="0" fillId="3" borderId="6" xfId="0" applyFill="1" applyBorder="1" applyAlignment="1">
      <alignment horizontal="left" wrapText="1"/>
    </xf>
    <xf numFmtId="0" fontId="0" fillId="3" borderId="7" xfId="0" applyFill="1" applyBorder="1" applyAlignment="1">
      <alignment horizontal="left" wrapText="1"/>
    </xf>
    <xf numFmtId="0" fontId="0" fillId="3" borderId="8" xfId="0" applyFill="1" applyBorder="1" applyAlignment="1">
      <alignment horizontal="left" wrapText="1"/>
    </xf>
    <xf numFmtId="0" fontId="52" fillId="16" borderId="21" xfId="0" applyFont="1" applyFill="1" applyBorder="1" applyAlignment="1">
      <alignment horizontal="left" wrapText="1"/>
    </xf>
    <xf numFmtId="0" fontId="52" fillId="16" borderId="22" xfId="0" applyFont="1" applyFill="1" applyBorder="1" applyAlignment="1">
      <alignment horizontal="left" wrapText="1"/>
    </xf>
    <xf numFmtId="0" fontId="52" fillId="16" borderId="23" xfId="0" applyFont="1" applyFill="1" applyBorder="1" applyAlignment="1">
      <alignment horizontal="left" wrapText="1"/>
    </xf>
    <xf numFmtId="0" fontId="50" fillId="3" borderId="13" xfId="0" applyFont="1" applyFill="1" applyBorder="1" applyAlignment="1">
      <alignment horizontal="left" vertical="top" wrapText="1"/>
    </xf>
    <xf numFmtId="0" fontId="50" fillId="3" borderId="15" xfId="0" applyFont="1" applyFill="1" applyBorder="1" applyAlignment="1">
      <alignment horizontal="left" vertical="top" wrapText="1"/>
    </xf>
    <xf numFmtId="0" fontId="50" fillId="3" borderId="14" xfId="0" applyFont="1" applyFill="1" applyBorder="1" applyAlignment="1">
      <alignment horizontal="left" vertical="top" wrapText="1"/>
    </xf>
    <xf numFmtId="0" fontId="3" fillId="3" borderId="40" xfId="0" applyFont="1" applyFill="1" applyBorder="1" applyAlignment="1">
      <alignment vertical="top" wrapText="1"/>
    </xf>
    <xf numFmtId="0" fontId="3" fillId="3" borderId="41" xfId="0" applyFont="1" applyFill="1" applyBorder="1" applyAlignment="1">
      <alignment vertical="top" wrapText="1"/>
    </xf>
    <xf numFmtId="0" fontId="40" fillId="16" borderId="0" xfId="0" applyFont="1" applyFill="1" applyAlignment="1">
      <alignment horizontal="left" wrapText="1"/>
    </xf>
    <xf numFmtId="0" fontId="40" fillId="16" borderId="21" xfId="0" applyFont="1" applyFill="1" applyBorder="1" applyAlignment="1">
      <alignment horizontal="left" wrapText="1"/>
    </xf>
    <xf numFmtId="0" fontId="40" fillId="16" borderId="22" xfId="0" applyFont="1" applyFill="1" applyBorder="1" applyAlignment="1">
      <alignment horizontal="left" wrapText="1"/>
    </xf>
    <xf numFmtId="0" fontId="40" fillId="16" borderId="23" xfId="0" applyFont="1" applyFill="1" applyBorder="1" applyAlignment="1">
      <alignment horizontal="left" wrapText="1"/>
    </xf>
    <xf numFmtId="0" fontId="71" fillId="3" borderId="0" xfId="0" applyFont="1" applyFill="1"/>
    <xf numFmtId="0" fontId="3" fillId="3" borderId="22" xfId="0" applyFont="1" applyFill="1" applyBorder="1" applyAlignment="1">
      <alignment horizontal="left" vertical="top" wrapText="1"/>
    </xf>
    <xf numFmtId="0" fontId="64" fillId="3" borderId="6" xfId="0" applyFont="1" applyFill="1" applyBorder="1" applyAlignment="1">
      <alignment horizontal="left" vertical="top" wrapText="1"/>
    </xf>
    <xf numFmtId="0" fontId="64" fillId="3" borderId="7" xfId="0" applyFont="1" applyFill="1" applyBorder="1" applyAlignment="1">
      <alignment horizontal="left" vertical="top" wrapText="1"/>
    </xf>
    <xf numFmtId="0" fontId="19" fillId="3" borderId="13" xfId="0" applyFont="1" applyFill="1" applyBorder="1" applyAlignment="1">
      <alignment horizontal="left" vertical="top" wrapText="1"/>
    </xf>
    <xf numFmtId="0" fontId="19" fillId="3" borderId="15" xfId="0" applyFont="1" applyFill="1" applyBorder="1" applyAlignment="1">
      <alignment horizontal="left" vertical="top" wrapText="1"/>
    </xf>
    <xf numFmtId="0" fontId="19" fillId="3" borderId="14" xfId="0" applyFont="1" applyFill="1" applyBorder="1" applyAlignment="1">
      <alignment horizontal="left" vertical="top" wrapText="1"/>
    </xf>
    <xf numFmtId="0" fontId="19" fillId="3" borderId="2" xfId="0" applyFont="1" applyFill="1" applyBorder="1" applyAlignment="1">
      <alignment horizontal="left" vertical="top" wrapText="1"/>
    </xf>
    <xf numFmtId="0" fontId="4" fillId="4" borderId="0" xfId="0" applyFont="1" applyFill="1" applyAlignment="1">
      <alignment horizontal="left" wrapText="1"/>
    </xf>
    <xf numFmtId="0" fontId="3" fillId="0" borderId="0" xfId="0" applyFont="1" applyAlignment="1">
      <alignment horizontal="left" wrapText="1"/>
    </xf>
    <xf numFmtId="0" fontId="3" fillId="3" borderId="8" xfId="0" applyFont="1" applyFill="1" applyBorder="1" applyAlignment="1">
      <alignment horizontal="left" vertical="top" wrapText="1"/>
    </xf>
    <xf numFmtId="0" fontId="19" fillId="3" borderId="1" xfId="0" applyFont="1" applyFill="1" applyBorder="1" applyAlignment="1">
      <alignment horizontal="left" vertical="top" wrapText="1"/>
    </xf>
    <xf numFmtId="0" fontId="19" fillId="3" borderId="3" xfId="0" applyFont="1" applyFill="1" applyBorder="1" applyAlignment="1">
      <alignment horizontal="left" vertical="top" wrapText="1"/>
    </xf>
    <xf numFmtId="0" fontId="0" fillId="3" borderId="6" xfId="3" applyFont="1" applyFill="1" applyBorder="1" applyAlignment="1">
      <alignment horizontal="left" vertical="top" wrapText="1"/>
    </xf>
    <xf numFmtId="0" fontId="0" fillId="3" borderId="7" xfId="3" applyFont="1" applyFill="1" applyBorder="1" applyAlignment="1">
      <alignment horizontal="left" vertical="top" wrapText="1"/>
    </xf>
    <xf numFmtId="0" fontId="0" fillId="3" borderId="8" xfId="3" applyFont="1" applyFill="1" applyBorder="1" applyAlignment="1">
      <alignment horizontal="left" vertical="top" wrapText="1"/>
    </xf>
    <xf numFmtId="0" fontId="9" fillId="3" borderId="1" xfId="3" applyFont="1" applyFill="1" applyBorder="1" applyAlignment="1">
      <alignment horizontal="left" vertical="top" wrapText="1"/>
    </xf>
    <xf numFmtId="0" fontId="34" fillId="3" borderId="1" xfId="0" applyFont="1" applyFill="1" applyBorder="1" applyAlignment="1">
      <alignment horizontal="left" vertical="top" wrapText="1"/>
    </xf>
    <xf numFmtId="0" fontId="64" fillId="3" borderId="8" xfId="0" applyFont="1" applyFill="1" applyBorder="1" applyAlignment="1">
      <alignment horizontal="left" vertical="top" wrapText="1"/>
    </xf>
    <xf numFmtId="0" fontId="20" fillId="3" borderId="13" xfId="0" applyFont="1" applyFill="1" applyBorder="1" applyAlignment="1">
      <alignment horizontal="left" vertical="top" wrapText="1"/>
    </xf>
    <xf numFmtId="0" fontId="79" fillId="3" borderId="15" xfId="0" applyFont="1" applyFill="1" applyBorder="1" applyAlignment="1">
      <alignment horizontal="left" vertical="top" wrapText="1"/>
    </xf>
    <xf numFmtId="0" fontId="79" fillId="3" borderId="14" xfId="0" applyFont="1" applyFill="1" applyBorder="1" applyAlignment="1">
      <alignment horizontal="left" vertical="top" wrapText="1"/>
    </xf>
    <xf numFmtId="0" fontId="19" fillId="3" borderId="6" xfId="0" applyFont="1" applyFill="1" applyBorder="1" applyAlignment="1">
      <alignment horizontal="left" vertical="top" wrapText="1"/>
    </xf>
    <xf numFmtId="0" fontId="19" fillId="3" borderId="7" xfId="0" applyFont="1" applyFill="1" applyBorder="1" applyAlignment="1">
      <alignment horizontal="left" vertical="top" wrapText="1"/>
    </xf>
    <xf numFmtId="0" fontId="77" fillId="27" borderId="0" xfId="0" applyFont="1" applyFill="1"/>
    <xf numFmtId="0" fontId="20" fillId="3" borderId="1" xfId="0" applyFont="1" applyFill="1" applyBorder="1" applyAlignment="1">
      <alignment horizontal="left" vertical="top" wrapText="1"/>
    </xf>
    <xf numFmtId="0" fontId="20" fillId="3" borderId="2" xfId="0" applyFont="1" applyFill="1" applyBorder="1" applyAlignment="1">
      <alignment horizontal="left" vertical="top" wrapText="1"/>
    </xf>
    <xf numFmtId="0" fontId="20" fillId="3" borderId="3" xfId="0" applyFont="1" applyFill="1" applyBorder="1" applyAlignment="1">
      <alignment horizontal="left" vertical="top" wrapText="1"/>
    </xf>
    <xf numFmtId="0" fontId="50" fillId="3" borderId="1" xfId="3" applyFont="1" applyFill="1" applyBorder="1" applyAlignment="1">
      <alignment horizontal="left" vertical="top" wrapText="1"/>
    </xf>
    <xf numFmtId="0" fontId="50" fillId="3" borderId="2" xfId="3" applyFont="1" applyFill="1" applyBorder="1" applyAlignment="1">
      <alignment horizontal="left" vertical="top" wrapText="1"/>
    </xf>
    <xf numFmtId="0" fontId="63" fillId="3" borderId="6" xfId="0" applyFont="1" applyFill="1" applyBorder="1" applyAlignment="1">
      <alignment horizontal="left" vertical="top" wrapText="1"/>
    </xf>
    <xf numFmtId="0" fontId="63" fillId="3" borderId="7" xfId="0" applyFont="1" applyFill="1" applyBorder="1" applyAlignment="1">
      <alignment horizontal="left" vertical="top" wrapText="1"/>
    </xf>
    <xf numFmtId="0" fontId="63" fillId="3" borderId="8" xfId="0" applyFont="1" applyFill="1" applyBorder="1" applyAlignment="1">
      <alignment horizontal="left" vertical="top" wrapText="1"/>
    </xf>
    <xf numFmtId="0" fontId="65" fillId="14" borderId="1" xfId="0" applyFont="1" applyFill="1" applyBorder="1" applyAlignment="1">
      <alignment wrapText="1"/>
    </xf>
    <xf numFmtId="0" fontId="65" fillId="14" borderId="2" xfId="0" applyFont="1" applyFill="1" applyBorder="1" applyAlignment="1">
      <alignment wrapText="1"/>
    </xf>
    <xf numFmtId="0" fontId="65" fillId="14" borderId="30" xfId="0" applyFont="1" applyFill="1" applyBorder="1" applyAlignment="1">
      <alignment wrapText="1"/>
    </xf>
    <xf numFmtId="0" fontId="65" fillId="14" borderId="4" xfId="0" applyFont="1" applyFill="1" applyBorder="1" applyAlignment="1">
      <alignment wrapText="1"/>
    </xf>
    <xf numFmtId="0" fontId="65" fillId="14" borderId="0" xfId="0" applyFont="1" applyFill="1" applyAlignment="1">
      <alignment wrapText="1"/>
    </xf>
    <xf numFmtId="0" fontId="65" fillId="14" borderId="31" xfId="0" applyFont="1" applyFill="1" applyBorder="1" applyAlignment="1">
      <alignment wrapText="1"/>
    </xf>
    <xf numFmtId="0" fontId="65" fillId="14" borderId="32" xfId="0" applyFont="1" applyFill="1" applyBorder="1" applyAlignment="1">
      <alignment wrapText="1"/>
    </xf>
    <xf numFmtId="0" fontId="65" fillId="14" borderId="33" xfId="0" applyFont="1" applyFill="1" applyBorder="1" applyAlignment="1">
      <alignment wrapText="1"/>
    </xf>
    <xf numFmtId="0" fontId="65" fillId="14" borderId="34" xfId="0" applyFont="1" applyFill="1" applyBorder="1" applyAlignment="1">
      <alignment wrapText="1"/>
    </xf>
    <xf numFmtId="0" fontId="19" fillId="3" borderId="0" xfId="0" applyFont="1" applyFill="1" applyAlignment="1">
      <alignment horizontal="center" vertical="top" wrapText="1"/>
    </xf>
    <xf numFmtId="0" fontId="0" fillId="3" borderId="1" xfId="0" applyFill="1" applyBorder="1" applyAlignment="1">
      <alignment vertical="top" wrapText="1"/>
    </xf>
    <xf numFmtId="0" fontId="0" fillId="3" borderId="2" xfId="0" applyFill="1" applyBorder="1" applyAlignment="1">
      <alignment vertical="top" wrapText="1"/>
    </xf>
    <xf numFmtId="0" fontId="0" fillId="3" borderId="3" xfId="0" applyFill="1" applyBorder="1" applyAlignment="1">
      <alignment vertical="top" wrapText="1"/>
    </xf>
    <xf numFmtId="0" fontId="0" fillId="3" borderId="4" xfId="0" applyFill="1" applyBorder="1" applyAlignment="1">
      <alignment vertical="top" wrapText="1"/>
    </xf>
    <xf numFmtId="0" fontId="0" fillId="3" borderId="0" xfId="0" applyFill="1" applyAlignment="1">
      <alignment vertical="top" wrapText="1"/>
    </xf>
    <xf numFmtId="0" fontId="0" fillId="3" borderId="5" xfId="0" applyFill="1" applyBorder="1" applyAlignment="1">
      <alignment vertical="top" wrapText="1"/>
    </xf>
    <xf numFmtId="0" fontId="0" fillId="3" borderId="6" xfId="0" applyFill="1" applyBorder="1" applyAlignment="1">
      <alignment vertical="top" wrapText="1"/>
    </xf>
    <xf numFmtId="0" fontId="0" fillId="3" borderId="7" xfId="0" applyFill="1" applyBorder="1" applyAlignment="1">
      <alignment vertical="top" wrapText="1"/>
    </xf>
    <xf numFmtId="0" fontId="0" fillId="3" borderId="8" xfId="0" applyFill="1" applyBorder="1" applyAlignment="1">
      <alignment vertical="top" wrapText="1"/>
    </xf>
    <xf numFmtId="0" fontId="0" fillId="3" borderId="0" xfId="0" applyFill="1" applyAlignment="1">
      <alignment horizontal="left" wrapText="1"/>
    </xf>
    <xf numFmtId="0" fontId="19" fillId="3" borderId="27" xfId="0" applyFont="1" applyFill="1" applyBorder="1" applyAlignment="1">
      <alignment horizontal="left" vertical="top" wrapText="1"/>
    </xf>
    <xf numFmtId="0" fontId="71" fillId="3" borderId="1" xfId="0" applyFont="1" applyFill="1" applyBorder="1" applyAlignment="1">
      <alignment horizontal="left" vertical="top" wrapText="1"/>
    </xf>
    <xf numFmtId="0" fontId="71" fillId="3" borderId="2" xfId="0" applyFont="1" applyFill="1" applyBorder="1" applyAlignment="1">
      <alignment horizontal="left" vertical="top" wrapText="1"/>
    </xf>
    <xf numFmtId="0" fontId="71" fillId="3" borderId="3" xfId="0" applyFont="1" applyFill="1" applyBorder="1" applyAlignment="1">
      <alignment horizontal="left" vertical="top" wrapText="1"/>
    </xf>
    <xf numFmtId="0" fontId="68" fillId="3" borderId="6" xfId="0" applyFont="1" applyFill="1" applyBorder="1" applyAlignment="1">
      <alignment horizontal="left" vertical="top" wrapText="1"/>
    </xf>
    <xf numFmtId="0" fontId="68" fillId="3" borderId="7" xfId="0" applyFont="1" applyFill="1" applyBorder="1" applyAlignment="1">
      <alignment horizontal="left" vertical="top" wrapText="1"/>
    </xf>
    <xf numFmtId="0" fontId="68" fillId="3" borderId="8" xfId="0" applyFont="1" applyFill="1" applyBorder="1" applyAlignment="1">
      <alignment horizontal="left" vertical="top" wrapText="1"/>
    </xf>
    <xf numFmtId="0" fontId="68" fillId="3" borderId="13" xfId="0" applyFont="1" applyFill="1" applyBorder="1" applyAlignment="1">
      <alignment horizontal="left" wrapText="1"/>
    </xf>
    <xf numFmtId="0" fontId="68" fillId="3" borderId="15" xfId="0" applyFont="1" applyFill="1" applyBorder="1" applyAlignment="1">
      <alignment horizontal="left" wrapText="1"/>
    </xf>
    <xf numFmtId="0" fontId="68" fillId="3" borderId="14" xfId="0" applyFont="1" applyFill="1" applyBorder="1" applyAlignment="1">
      <alignment horizontal="left" wrapText="1"/>
    </xf>
    <xf numFmtId="0" fontId="65" fillId="14" borderId="1" xfId="0" applyFont="1" applyFill="1" applyBorder="1"/>
    <xf numFmtId="0" fontId="65" fillId="14" borderId="2" xfId="0" applyFont="1" applyFill="1" applyBorder="1"/>
    <xf numFmtId="0" fontId="65" fillId="14" borderId="30" xfId="0" applyFont="1" applyFill="1" applyBorder="1"/>
    <xf numFmtId="0" fontId="16" fillId="14" borderId="6" xfId="0" applyFont="1" applyFill="1" applyBorder="1" applyAlignment="1">
      <alignment wrapText="1"/>
    </xf>
    <xf numFmtId="0" fontId="16" fillId="14" borderId="7" xfId="0" applyFont="1" applyFill="1" applyBorder="1" applyAlignment="1">
      <alignment wrapText="1"/>
    </xf>
    <xf numFmtId="0" fontId="16" fillId="14" borderId="43" xfId="0" applyFont="1" applyFill="1" applyBorder="1" applyAlignment="1">
      <alignment wrapText="1"/>
    </xf>
    <xf numFmtId="0" fontId="3" fillId="3" borderId="2" xfId="0" applyFont="1" applyFill="1" applyBorder="1" applyAlignment="1">
      <alignment horizontal="left" wrapText="1"/>
    </xf>
    <xf numFmtId="0" fontId="3" fillId="3" borderId="0" xfId="0" applyFont="1" applyFill="1" applyAlignment="1">
      <alignment horizontal="left" wrapText="1"/>
    </xf>
    <xf numFmtId="0" fontId="3" fillId="9" borderId="44" xfId="0" applyFont="1" applyFill="1" applyBorder="1" applyAlignment="1">
      <alignment horizontal="center"/>
    </xf>
    <xf numFmtId="0" fontId="3" fillId="9" borderId="50" xfId="0" applyFont="1" applyFill="1" applyBorder="1" applyAlignment="1">
      <alignment horizontal="center"/>
    </xf>
    <xf numFmtId="0" fontId="3" fillId="3" borderId="2" xfId="0" applyFont="1" applyFill="1" applyBorder="1" applyAlignment="1">
      <alignment horizontal="left" vertical="top" wrapText="1"/>
    </xf>
    <xf numFmtId="0" fontId="3" fillId="3" borderId="1" xfId="3" applyFill="1" applyBorder="1" applyAlignment="1">
      <alignment horizontal="left" wrapText="1"/>
    </xf>
    <xf numFmtId="0" fontId="3" fillId="3" borderId="2" xfId="3" applyFill="1" applyBorder="1" applyAlignment="1">
      <alignment horizontal="left" wrapText="1"/>
    </xf>
    <xf numFmtId="0" fontId="3" fillId="3" borderId="3" xfId="3" applyFill="1" applyBorder="1" applyAlignment="1">
      <alignment horizontal="left" wrapText="1"/>
    </xf>
    <xf numFmtId="0" fontId="19" fillId="30" borderId="1" xfId="0" applyFont="1" applyFill="1" applyBorder="1" applyAlignment="1">
      <alignment horizontal="left" wrapText="1"/>
    </xf>
    <xf numFmtId="0" fontId="19" fillId="30" borderId="2" xfId="0" applyFont="1" applyFill="1" applyBorder="1" applyAlignment="1">
      <alignment horizontal="left" wrapText="1"/>
    </xf>
    <xf numFmtId="0" fontId="19" fillId="30" borderId="3" xfId="0" applyFont="1" applyFill="1" applyBorder="1" applyAlignment="1">
      <alignment horizontal="left" wrapText="1"/>
    </xf>
    <xf numFmtId="0" fontId="19" fillId="30" borderId="4" xfId="0" applyFont="1" applyFill="1" applyBorder="1" applyAlignment="1">
      <alignment horizontal="left" wrapText="1"/>
    </xf>
    <xf numFmtId="0" fontId="19" fillId="30" borderId="0" xfId="0" applyFont="1" applyFill="1" applyAlignment="1">
      <alignment horizontal="left" wrapText="1"/>
    </xf>
    <xf numFmtId="0" fontId="19" fillId="30" borderId="5" xfId="0" applyFont="1" applyFill="1" applyBorder="1" applyAlignment="1">
      <alignment horizontal="left" wrapText="1"/>
    </xf>
    <xf numFmtId="0" fontId="19" fillId="30" borderId="6" xfId="0" applyFont="1" applyFill="1" applyBorder="1" applyAlignment="1">
      <alignment horizontal="left" wrapText="1"/>
    </xf>
    <xf numFmtId="0" fontId="19" fillId="30" borderId="7" xfId="0" applyFont="1" applyFill="1" applyBorder="1" applyAlignment="1">
      <alignment horizontal="left" wrapText="1"/>
    </xf>
    <xf numFmtId="0" fontId="19" fillId="30" borderId="8" xfId="0" applyFont="1" applyFill="1" applyBorder="1" applyAlignment="1">
      <alignment horizontal="left" wrapText="1"/>
    </xf>
    <xf numFmtId="0" fontId="68" fillId="3" borderId="2" xfId="0" applyFont="1" applyFill="1" applyBorder="1" applyAlignment="1">
      <alignment horizontal="left" vertical="center" wrapText="1"/>
    </xf>
    <xf numFmtId="0" fontId="68" fillId="3" borderId="0" xfId="0" applyFont="1" applyFill="1" applyAlignment="1">
      <alignment horizontal="left" vertical="center" wrapText="1"/>
    </xf>
    <xf numFmtId="0" fontId="9" fillId="3" borderId="13" xfId="0" applyFont="1" applyFill="1" applyBorder="1" applyAlignment="1">
      <alignment horizontal="left" vertical="top" wrapText="1"/>
    </xf>
    <xf numFmtId="0" fontId="9" fillId="3" borderId="15" xfId="0" applyFont="1" applyFill="1" applyBorder="1" applyAlignment="1">
      <alignment horizontal="left" vertical="top" wrapText="1"/>
    </xf>
    <xf numFmtId="0" fontId="9" fillId="3" borderId="14" xfId="0" applyFont="1" applyFill="1" applyBorder="1" applyAlignment="1">
      <alignment horizontal="left" vertical="top" wrapText="1"/>
    </xf>
    <xf numFmtId="0" fontId="4" fillId="3" borderId="1" xfId="0" applyFont="1" applyFill="1" applyBorder="1" applyAlignment="1">
      <alignment horizontal="left" vertical="top" wrapText="1"/>
    </xf>
    <xf numFmtId="0" fontId="65" fillId="14" borderId="1" xfId="0" applyFont="1" applyFill="1" applyBorder="1" applyAlignment="1">
      <alignment vertical="top" wrapText="1"/>
    </xf>
    <xf numFmtId="0" fontId="65" fillId="14" borderId="2" xfId="0" applyFont="1" applyFill="1" applyBorder="1" applyAlignment="1">
      <alignment vertical="top" wrapText="1"/>
    </xf>
    <xf numFmtId="0" fontId="65" fillId="14" borderId="30" xfId="0" applyFont="1" applyFill="1" applyBorder="1" applyAlignment="1">
      <alignment vertical="top" wrapText="1"/>
    </xf>
    <xf numFmtId="0" fontId="65" fillId="14" borderId="4" xfId="0" applyFont="1" applyFill="1" applyBorder="1" applyAlignment="1">
      <alignment vertical="top" wrapText="1"/>
    </xf>
    <xf numFmtId="0" fontId="65" fillId="14" borderId="0" xfId="0" applyFont="1" applyFill="1" applyAlignment="1">
      <alignment vertical="top" wrapText="1"/>
    </xf>
    <xf numFmtId="0" fontId="65" fillId="14" borderId="31" xfId="0" applyFont="1" applyFill="1" applyBorder="1" applyAlignment="1">
      <alignment vertical="top" wrapText="1"/>
    </xf>
    <xf numFmtId="0" fontId="65" fillId="14" borderId="32" xfId="0" applyFont="1" applyFill="1" applyBorder="1" applyAlignment="1">
      <alignment vertical="top" wrapText="1"/>
    </xf>
    <xf numFmtId="0" fontId="65" fillId="14" borderId="33" xfId="0" applyFont="1" applyFill="1" applyBorder="1" applyAlignment="1">
      <alignment vertical="top" wrapText="1"/>
    </xf>
    <xf numFmtId="0" fontId="65" fillId="14" borderId="34" xfId="0" applyFont="1" applyFill="1" applyBorder="1" applyAlignment="1">
      <alignment vertical="top" wrapText="1"/>
    </xf>
    <xf numFmtId="0" fontId="12" fillId="14" borderId="4" xfId="0" applyFont="1" applyFill="1" applyBorder="1" applyAlignment="1">
      <alignment wrapText="1"/>
    </xf>
    <xf numFmtId="0" fontId="12" fillId="14" borderId="0" xfId="0" applyFont="1" applyFill="1" applyAlignment="1">
      <alignment wrapText="1"/>
    </xf>
    <xf numFmtId="0" fontId="12" fillId="14" borderId="31" xfId="0" applyFont="1" applyFill="1" applyBorder="1" applyAlignment="1">
      <alignment wrapText="1"/>
    </xf>
    <xf numFmtId="0" fontId="65" fillId="14" borderId="6" xfId="0" applyFont="1" applyFill="1" applyBorder="1" applyAlignment="1">
      <alignment wrapText="1"/>
    </xf>
    <xf numFmtId="0" fontId="65" fillId="14" borderId="7" xfId="0" applyFont="1" applyFill="1" applyBorder="1" applyAlignment="1">
      <alignment wrapText="1"/>
    </xf>
    <xf numFmtId="0" fontId="65" fillId="14" borderId="43" xfId="0" applyFont="1" applyFill="1" applyBorder="1" applyAlignment="1">
      <alignment wrapText="1"/>
    </xf>
    <xf numFmtId="0" fontId="12" fillId="14" borderId="1" xfId="0" applyFont="1" applyFill="1" applyBorder="1" applyAlignment="1">
      <alignment wrapText="1"/>
    </xf>
    <xf numFmtId="0" fontId="12" fillId="14" borderId="2" xfId="0" applyFont="1" applyFill="1" applyBorder="1" applyAlignment="1">
      <alignment wrapText="1"/>
    </xf>
    <xf numFmtId="0" fontId="12" fillId="14" borderId="30" xfId="0" applyFont="1" applyFill="1" applyBorder="1" applyAlignment="1">
      <alignment wrapText="1"/>
    </xf>
    <xf numFmtId="0" fontId="19" fillId="3" borderId="0" xfId="0" applyFont="1" applyFill="1" applyAlignment="1">
      <alignment horizontal="left" wrapText="1"/>
    </xf>
    <xf numFmtId="0" fontId="19" fillId="3" borderId="0" xfId="0" applyFont="1" applyFill="1" applyAlignment="1">
      <alignment horizontal="left"/>
    </xf>
    <xf numFmtId="0" fontId="4" fillId="5" borderId="0" xfId="0" applyFont="1" applyFill="1" applyAlignment="1">
      <alignment horizontal="left" wrapText="1"/>
    </xf>
    <xf numFmtId="49" fontId="0" fillId="3" borderId="1" xfId="0" applyNumberFormat="1" applyFill="1" applyBorder="1" applyAlignment="1">
      <alignment horizontal="left" vertical="top" wrapText="1"/>
    </xf>
    <xf numFmtId="49" fontId="0" fillId="3" borderId="2" xfId="0" applyNumberFormat="1" applyFill="1" applyBorder="1" applyAlignment="1">
      <alignment horizontal="left" vertical="top" wrapText="1"/>
    </xf>
    <xf numFmtId="49" fontId="0" fillId="3" borderId="3" xfId="0" applyNumberFormat="1" applyFill="1" applyBorder="1" applyAlignment="1">
      <alignment horizontal="left" vertical="top" wrapText="1"/>
    </xf>
    <xf numFmtId="49" fontId="0" fillId="3" borderId="4" xfId="0" applyNumberFormat="1" applyFill="1" applyBorder="1" applyAlignment="1">
      <alignment horizontal="left" vertical="top" wrapText="1"/>
    </xf>
    <xf numFmtId="49" fontId="0" fillId="3" borderId="0" xfId="0" applyNumberFormat="1" applyFill="1" applyAlignment="1">
      <alignment horizontal="left" vertical="top" wrapText="1"/>
    </xf>
    <xf numFmtId="49" fontId="0" fillId="3" borderId="5" xfId="0" applyNumberFormat="1" applyFill="1" applyBorder="1" applyAlignment="1">
      <alignment horizontal="left" vertical="top" wrapText="1"/>
    </xf>
    <xf numFmtId="49" fontId="0" fillId="3" borderId="6" xfId="0" applyNumberFormat="1" applyFill="1" applyBorder="1" applyAlignment="1">
      <alignment horizontal="left" vertical="top" wrapText="1"/>
    </xf>
    <xf numFmtId="49" fontId="0" fillId="3" borderId="7" xfId="0" applyNumberFormat="1" applyFill="1" applyBorder="1" applyAlignment="1">
      <alignment horizontal="left" vertical="top" wrapText="1"/>
    </xf>
    <xf numFmtId="49" fontId="0" fillId="3" borderId="8" xfId="0" applyNumberFormat="1" applyFill="1" applyBorder="1" applyAlignment="1">
      <alignment horizontal="left" vertical="top" wrapText="1"/>
    </xf>
    <xf numFmtId="0" fontId="9" fillId="3" borderId="1" xfId="0" applyFont="1" applyFill="1" applyBorder="1" applyAlignment="1">
      <alignment horizontal="left" vertical="top" wrapText="1"/>
    </xf>
    <xf numFmtId="9" fontId="68" fillId="19" borderId="13" xfId="2" applyFont="1" applyFill="1" applyBorder="1" applyAlignment="1">
      <alignment horizontal="center"/>
    </xf>
    <xf numFmtId="9" fontId="68" fillId="19" borderId="15" xfId="2" applyFont="1" applyFill="1" applyBorder="1" applyAlignment="1">
      <alignment horizontal="center"/>
    </xf>
    <xf numFmtId="9" fontId="68" fillId="19" borderId="14" xfId="2" applyFont="1" applyFill="1" applyBorder="1" applyAlignment="1">
      <alignment horizontal="center"/>
    </xf>
    <xf numFmtId="0" fontId="12" fillId="14" borderId="6" xfId="0" applyFont="1" applyFill="1" applyBorder="1" applyAlignment="1">
      <alignment wrapText="1"/>
    </xf>
    <xf numFmtId="0" fontId="12" fillId="14" borderId="7" xfId="0" applyFont="1" applyFill="1" applyBorder="1" applyAlignment="1">
      <alignment wrapText="1"/>
    </xf>
    <xf numFmtId="0" fontId="12" fillId="14" borderId="43" xfId="0" applyFont="1" applyFill="1" applyBorder="1" applyAlignment="1">
      <alignment wrapText="1"/>
    </xf>
    <xf numFmtId="0" fontId="13" fillId="3" borderId="13" xfId="0" applyFont="1" applyFill="1" applyBorder="1" applyAlignment="1">
      <alignment horizontal="left" vertical="top" wrapText="1"/>
    </xf>
    <xf numFmtId="0" fontId="13" fillId="3" borderId="15" xfId="0" applyFont="1" applyFill="1" applyBorder="1" applyAlignment="1">
      <alignment horizontal="left" vertical="top" wrapText="1"/>
    </xf>
    <xf numFmtId="0" fontId="13" fillId="3" borderId="14" xfId="0" applyFont="1" applyFill="1" applyBorder="1" applyAlignment="1">
      <alignment horizontal="left" vertical="top" wrapText="1"/>
    </xf>
    <xf numFmtId="0" fontId="63" fillId="3" borderId="13" xfId="0" applyFont="1" applyFill="1" applyBorder="1" applyAlignment="1">
      <alignment horizontal="left" vertical="top" wrapText="1"/>
    </xf>
    <xf numFmtId="0" fontId="63" fillId="3" borderId="15" xfId="0" applyFont="1" applyFill="1" applyBorder="1" applyAlignment="1">
      <alignment horizontal="left" vertical="top" wrapText="1"/>
    </xf>
    <xf numFmtId="0" fontId="63" fillId="3" borderId="14" xfId="0" applyFont="1" applyFill="1" applyBorder="1" applyAlignment="1">
      <alignment horizontal="left" vertical="top" wrapText="1"/>
    </xf>
    <xf numFmtId="0" fontId="0" fillId="0" borderId="7" xfId="0" applyBorder="1" applyAlignment="1">
      <alignment horizontal="center"/>
    </xf>
    <xf numFmtId="0" fontId="0" fillId="3" borderId="13" xfId="0" applyFill="1" applyBorder="1" applyAlignment="1">
      <alignment horizontal="left" vertical="top" wrapText="1"/>
    </xf>
    <xf numFmtId="0" fontId="0" fillId="3" borderId="15" xfId="0" applyFill="1" applyBorder="1" applyAlignment="1">
      <alignment horizontal="left" vertical="top" wrapText="1"/>
    </xf>
    <xf numFmtId="0" fontId="0" fillId="3" borderId="14" xfId="0" applyFill="1" applyBorder="1" applyAlignment="1">
      <alignment horizontal="left" vertical="top" wrapText="1"/>
    </xf>
    <xf numFmtId="0" fontId="13" fillId="3" borderId="4" xfId="0" applyFont="1" applyFill="1" applyBorder="1" applyAlignment="1">
      <alignment horizontal="left" vertical="top" wrapText="1"/>
    </xf>
    <xf numFmtId="0" fontId="13" fillId="3" borderId="0" xfId="0" applyFont="1" applyFill="1" applyAlignment="1">
      <alignment horizontal="left" vertical="top" wrapText="1"/>
    </xf>
    <xf numFmtId="0" fontId="50" fillId="3" borderId="4" xfId="0" applyFont="1" applyFill="1" applyBorder="1" applyAlignment="1">
      <alignment horizontal="left" vertical="top" wrapText="1"/>
    </xf>
    <xf numFmtId="0" fontId="50" fillId="3" borderId="0" xfId="0" applyFont="1" applyFill="1" applyAlignment="1">
      <alignment horizontal="left" vertical="top" wrapText="1"/>
    </xf>
    <xf numFmtId="0" fontId="68" fillId="16" borderId="0" xfId="0" applyFont="1" applyFill="1" applyAlignment="1">
      <alignment horizontal="left" vertical="center" wrapText="1"/>
    </xf>
    <xf numFmtId="0" fontId="68" fillId="16" borderId="25" xfId="0" applyFont="1" applyFill="1" applyBorder="1" applyAlignment="1">
      <alignment horizontal="left" vertical="center" wrapText="1"/>
    </xf>
    <xf numFmtId="0" fontId="19" fillId="3" borderId="8" xfId="0" applyFont="1" applyFill="1" applyBorder="1" applyAlignment="1">
      <alignment horizontal="left" vertical="top" wrapText="1"/>
    </xf>
    <xf numFmtId="188" fontId="3" fillId="0" borderId="0" xfId="3" applyNumberFormat="1"/>
    <xf numFmtId="0" fontId="0" fillId="0" borderId="14" xfId="0" applyFill="1" applyBorder="1"/>
    <xf numFmtId="0" fontId="5" fillId="0" borderId="9" xfId="0" applyFont="1" applyFill="1" applyBorder="1"/>
    <xf numFmtId="0" fontId="7" fillId="0" borderId="11" xfId="0" applyFont="1" applyFill="1" applyBorder="1" applyAlignment="1">
      <alignment horizontal="center"/>
    </xf>
    <xf numFmtId="169" fontId="8" fillId="4" borderId="0" xfId="1" applyNumberFormat="1" applyFont="1" applyFill="1" applyProtection="1"/>
  </cellXfs>
  <cellStyles count="15">
    <cellStyle name="Comma 2" xfId="5" xr:uid="{00000000-0005-0000-0000-000001000000}"/>
    <cellStyle name="Comma 3" xfId="8" xr:uid="{00000000-0005-0000-0000-000002000000}"/>
    <cellStyle name="Comma 4" xfId="10" xr:uid="{4B1A2C1D-4C94-4346-9E39-1918AD9044CC}"/>
    <cellStyle name="Currency 2" xfId="11" xr:uid="{A7C1B7BA-5B15-4597-91C3-5202B89F77D3}"/>
    <cellStyle name="Hyperlink" xfId="4" builtinId="8"/>
    <cellStyle name="Komma" xfId="1" builtinId="3"/>
    <cellStyle name="Komma 2" xfId="13" xr:uid="{C9BADB37-C6EF-4695-B33E-61A3D11AE1DD}"/>
    <cellStyle name="Normal 2" xfId="3" xr:uid="{00000000-0005-0000-0000-000006000000}"/>
    <cellStyle name="Normal 3" xfId="7" xr:uid="{00000000-0005-0000-0000-000007000000}"/>
    <cellStyle name="Per cent 2" xfId="12" xr:uid="{9160CAF1-F3C9-49D7-966F-40E20EC0BD3A}"/>
    <cellStyle name="Percent 2" xfId="6" xr:uid="{00000000-0005-0000-0000-000009000000}"/>
    <cellStyle name="Procent" xfId="2" builtinId="5"/>
    <cellStyle name="Standaard" xfId="0" builtinId="0"/>
    <cellStyle name="Valuta" xfId="9" builtinId="4"/>
    <cellStyle name="Valuta 2" xfId="14" xr:uid="{BE6C7B3A-6159-4FD7-88B5-3A77893A33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7.emf"/></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hyperlink" Target="https://www.gurufocus.com/membership/new/index.html#/?ref=stock_term_page&amp;sel=premium&amp;utm_source=webApp&amp;utm_medium=userClick&amp;utm_campaign=stock_term_page_hidden_text&amp;ticker=NYSE:HLT"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0</xdr:col>
      <xdr:colOff>1304925</xdr:colOff>
      <xdr:row>159</xdr:row>
      <xdr:rowOff>128587</xdr:rowOff>
    </xdr:from>
    <xdr:ext cx="6204128" cy="1047751"/>
    <xdr:pic>
      <xdr:nvPicPr>
        <xdr:cNvPr id="2" name="Picture 2">
          <a:extLst>
            <a:ext uri="{FF2B5EF4-FFF2-40B4-BE49-F238E27FC236}">
              <a16:creationId xmlns:a16="http://schemas.microsoft.com/office/drawing/2014/main" id="{5B336EA5-A67F-4337-8763-9150BA8DB5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8903612"/>
          <a:ext cx="6204128" cy="104775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30</xdr:row>
      <xdr:rowOff>0</xdr:rowOff>
    </xdr:from>
    <xdr:ext cx="7137904" cy="4431844"/>
    <xdr:pic>
      <xdr:nvPicPr>
        <xdr:cNvPr id="2" name="Picture 1">
          <a:extLst>
            <a:ext uri="{FF2B5EF4-FFF2-40B4-BE49-F238E27FC236}">
              <a16:creationId xmlns:a16="http://schemas.microsoft.com/office/drawing/2014/main" id="{E21C9AC8-BDAB-4B85-9A5A-0E09827A3A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429250"/>
          <a:ext cx="7137904" cy="4431844"/>
        </a:xfrm>
        <a:prstGeom prst="rect">
          <a:avLst/>
        </a:prstGeom>
      </xdr:spPr>
    </xdr:pic>
    <xdr:clientData/>
  </xdr:oneCellAnchor>
  <xdr:oneCellAnchor>
    <xdr:from>
      <xdr:col>0</xdr:col>
      <xdr:colOff>0</xdr:colOff>
      <xdr:row>30</xdr:row>
      <xdr:rowOff>0</xdr:rowOff>
    </xdr:from>
    <xdr:ext cx="7137904" cy="4431844"/>
    <xdr:pic>
      <xdr:nvPicPr>
        <xdr:cNvPr id="3" name="Picture 2">
          <a:extLst>
            <a:ext uri="{FF2B5EF4-FFF2-40B4-BE49-F238E27FC236}">
              <a16:creationId xmlns:a16="http://schemas.microsoft.com/office/drawing/2014/main" id="{8C2ABE99-00E2-45FA-8DE7-CEC75DF8F3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429250"/>
          <a:ext cx="7137904" cy="4431844"/>
        </a:xfrm>
        <a:prstGeom prst="rect">
          <a:avLst/>
        </a:prstGeom>
      </xdr:spPr>
    </xdr:pic>
    <xdr:clientData/>
  </xdr:oneCellAnchor>
  <xdr:oneCellAnchor>
    <xdr:from>
      <xdr:col>0</xdr:col>
      <xdr:colOff>409015</xdr:colOff>
      <xdr:row>478</xdr:row>
      <xdr:rowOff>123264</xdr:rowOff>
    </xdr:from>
    <xdr:ext cx="4696105" cy="1961310"/>
    <xdr:pic>
      <xdr:nvPicPr>
        <xdr:cNvPr id="4" name="Picture 4">
          <a:extLst>
            <a:ext uri="{FF2B5EF4-FFF2-40B4-BE49-F238E27FC236}">
              <a16:creationId xmlns:a16="http://schemas.microsoft.com/office/drawing/2014/main" id="{6E937F57-C60D-43DB-8994-827B92B6EA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9015" y="86629314"/>
          <a:ext cx="4696105" cy="19613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717175</xdr:colOff>
      <xdr:row>487</xdr:row>
      <xdr:rowOff>154484</xdr:rowOff>
    </xdr:from>
    <xdr:ext cx="2203918" cy="2230410"/>
    <xdr:pic>
      <xdr:nvPicPr>
        <xdr:cNvPr id="5" name="Picture 5">
          <a:extLst>
            <a:ext uri="{FF2B5EF4-FFF2-40B4-BE49-F238E27FC236}">
              <a16:creationId xmlns:a16="http://schemas.microsoft.com/office/drawing/2014/main" id="{EC03A431-4DA6-4887-8D8C-EC7EF880538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5737" y="88289309"/>
          <a:ext cx="2203918" cy="22304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268941</xdr:colOff>
      <xdr:row>504</xdr:row>
      <xdr:rowOff>106455</xdr:rowOff>
    </xdr:from>
    <xdr:ext cx="4702269" cy="1976998"/>
    <xdr:pic>
      <xdr:nvPicPr>
        <xdr:cNvPr id="6" name="Picture 3">
          <a:extLst>
            <a:ext uri="{FF2B5EF4-FFF2-40B4-BE49-F238E27FC236}">
              <a16:creationId xmlns:a16="http://schemas.microsoft.com/office/drawing/2014/main" id="{9EC60B9A-885C-4381-9C06-C394E06FDE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8941" y="91317855"/>
          <a:ext cx="4702269" cy="197699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661145</xdr:colOff>
      <xdr:row>518</xdr:row>
      <xdr:rowOff>87249</xdr:rowOff>
    </xdr:from>
    <xdr:ext cx="2207559" cy="2248340"/>
    <xdr:pic>
      <xdr:nvPicPr>
        <xdr:cNvPr id="7" name="Picture 6">
          <a:extLst>
            <a:ext uri="{FF2B5EF4-FFF2-40B4-BE49-F238E27FC236}">
              <a16:creationId xmlns:a16="http://schemas.microsoft.com/office/drawing/2014/main" id="{0B1DFFF7-484F-4FE0-B7EC-8F674FDC131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6857" y="93832299"/>
          <a:ext cx="2207559" cy="22483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96457</xdr:colOff>
      <xdr:row>374</xdr:row>
      <xdr:rowOff>124522</xdr:rowOff>
    </xdr:from>
    <xdr:to>
      <xdr:col>3</xdr:col>
      <xdr:colOff>121727</xdr:colOff>
      <xdr:row>393</xdr:row>
      <xdr:rowOff>156499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96457" y="79010572"/>
          <a:ext cx="8116758" cy="4842102"/>
        </a:xfrm>
        <a:prstGeom prst="rect">
          <a:avLst/>
        </a:prstGeom>
      </xdr:spPr>
    </xdr:pic>
    <xdr:clientData/>
  </xdr:twoCellAnchor>
  <xdr:twoCellAnchor editAs="oneCell">
    <xdr:from>
      <xdr:col>0</xdr:col>
      <xdr:colOff>177585</xdr:colOff>
      <xdr:row>799</xdr:row>
      <xdr:rowOff>36094</xdr:rowOff>
    </xdr:from>
    <xdr:to>
      <xdr:col>1</xdr:col>
      <xdr:colOff>1408340</xdr:colOff>
      <xdr:row>801</xdr:row>
      <xdr:rowOff>121575</xdr:rowOff>
    </xdr:to>
    <xdr:pic>
      <xdr:nvPicPr>
        <xdr:cNvPr id="4" name="Picture 3">
          <a:extLst>
            <a:ext uri="{FF2B5EF4-FFF2-40B4-BE49-F238E27FC236}">
              <a16:creationId xmlns:a16="http://schemas.microsoft.com/office/drawing/2014/main" id="{78C8FE64-F786-B4E9-7620-6032A0E0EF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7585" y="168397273"/>
          <a:ext cx="4972719" cy="5481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1345163</xdr:colOff>
      <xdr:row>33</xdr:row>
      <xdr:rowOff>31103</xdr:rowOff>
    </xdr:from>
    <xdr:to>
      <xdr:col>3</xdr:col>
      <xdr:colOff>961221</xdr:colOff>
      <xdr:row>39</xdr:row>
      <xdr:rowOff>65412</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863" y="16350603"/>
          <a:ext cx="7864708" cy="11344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38101</xdr:colOff>
      <xdr:row>151</xdr:row>
      <xdr:rowOff>19050</xdr:rowOff>
    </xdr:from>
    <xdr:to>
      <xdr:col>1</xdr:col>
      <xdr:colOff>3659629</xdr:colOff>
      <xdr:row>183</xdr:row>
      <xdr:rowOff>150812</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1" y="98253550"/>
          <a:ext cx="6169466" cy="642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30</xdr:row>
      <xdr:rowOff>0</xdr:rowOff>
    </xdr:from>
    <xdr:to>
      <xdr:col>2</xdr:col>
      <xdr:colOff>304800</xdr:colOff>
      <xdr:row>31</xdr:row>
      <xdr:rowOff>114298</xdr:rowOff>
    </xdr:to>
    <xdr:sp macro="" textlink="">
      <xdr:nvSpPr>
        <xdr:cNvPr id="2" name="AutoShape 1" descr="Premium Member Only">
          <a:hlinkClick xmlns:r="http://schemas.openxmlformats.org/officeDocument/2006/relationships" r:id="rId1"/>
          <a:extLst>
            <a:ext uri="{FF2B5EF4-FFF2-40B4-BE49-F238E27FC236}">
              <a16:creationId xmlns:a16="http://schemas.microsoft.com/office/drawing/2014/main" id="{00000000-0008-0000-0400-000002000000}"/>
            </a:ext>
          </a:extLst>
        </xdr:cNvPr>
        <xdr:cNvSpPr>
          <a:spLocks noChangeAspect="1" noChangeArrowheads="1"/>
        </xdr:cNvSpPr>
      </xdr:nvSpPr>
      <xdr:spPr bwMode="auto">
        <a:xfrm>
          <a:off x="4337050" y="5676900"/>
          <a:ext cx="304800" cy="31114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30</xdr:row>
      <xdr:rowOff>0</xdr:rowOff>
    </xdr:from>
    <xdr:to>
      <xdr:col>3</xdr:col>
      <xdr:colOff>304800</xdr:colOff>
      <xdr:row>31</xdr:row>
      <xdr:rowOff>114298</xdr:rowOff>
    </xdr:to>
    <xdr:sp macro="" textlink="">
      <xdr:nvSpPr>
        <xdr:cNvPr id="3" name="AutoShape 2" descr="Premium Member Only">
          <a:hlinkClick xmlns:r="http://schemas.openxmlformats.org/officeDocument/2006/relationships" r:id="rId1"/>
          <a:extLst>
            <a:ext uri="{FF2B5EF4-FFF2-40B4-BE49-F238E27FC236}">
              <a16:creationId xmlns:a16="http://schemas.microsoft.com/office/drawing/2014/main" id="{00000000-0008-0000-0400-000003000000}"/>
            </a:ext>
          </a:extLst>
        </xdr:cNvPr>
        <xdr:cNvSpPr>
          <a:spLocks noChangeAspect="1" noChangeArrowheads="1"/>
        </xdr:cNvSpPr>
      </xdr:nvSpPr>
      <xdr:spPr bwMode="auto">
        <a:xfrm>
          <a:off x="5295900" y="5676900"/>
          <a:ext cx="304800" cy="31114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30</xdr:row>
      <xdr:rowOff>0</xdr:rowOff>
    </xdr:from>
    <xdr:to>
      <xdr:col>4</xdr:col>
      <xdr:colOff>304800</xdr:colOff>
      <xdr:row>31</xdr:row>
      <xdr:rowOff>114298</xdr:rowOff>
    </xdr:to>
    <xdr:sp macro="" textlink="">
      <xdr:nvSpPr>
        <xdr:cNvPr id="4" name="AutoShape 3" descr="Premium Member Only">
          <a:hlinkClick xmlns:r="http://schemas.openxmlformats.org/officeDocument/2006/relationships" r:id="rId1"/>
          <a:extLst>
            <a:ext uri="{FF2B5EF4-FFF2-40B4-BE49-F238E27FC236}">
              <a16:creationId xmlns:a16="http://schemas.microsoft.com/office/drawing/2014/main" id="{00000000-0008-0000-0400-000004000000}"/>
            </a:ext>
          </a:extLst>
        </xdr:cNvPr>
        <xdr:cNvSpPr>
          <a:spLocks noChangeAspect="1" noChangeArrowheads="1"/>
        </xdr:cNvSpPr>
      </xdr:nvSpPr>
      <xdr:spPr bwMode="auto">
        <a:xfrm>
          <a:off x="6083300" y="5676900"/>
          <a:ext cx="304800" cy="31114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30</xdr:row>
      <xdr:rowOff>0</xdr:rowOff>
    </xdr:from>
    <xdr:to>
      <xdr:col>5</xdr:col>
      <xdr:colOff>304800</xdr:colOff>
      <xdr:row>31</xdr:row>
      <xdr:rowOff>114298</xdr:rowOff>
    </xdr:to>
    <xdr:sp macro="" textlink="">
      <xdr:nvSpPr>
        <xdr:cNvPr id="5" name="AutoShape 4" descr="Premium Member Only">
          <a:hlinkClick xmlns:r="http://schemas.openxmlformats.org/officeDocument/2006/relationships" r:id="rId1"/>
          <a:extLst>
            <a:ext uri="{FF2B5EF4-FFF2-40B4-BE49-F238E27FC236}">
              <a16:creationId xmlns:a16="http://schemas.microsoft.com/office/drawing/2014/main" id="{00000000-0008-0000-0400-000005000000}"/>
            </a:ext>
          </a:extLst>
        </xdr:cNvPr>
        <xdr:cNvSpPr>
          <a:spLocks noChangeAspect="1" noChangeArrowheads="1"/>
        </xdr:cNvSpPr>
      </xdr:nvSpPr>
      <xdr:spPr bwMode="auto">
        <a:xfrm>
          <a:off x="6870700" y="5676900"/>
          <a:ext cx="304800" cy="31114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30</xdr:row>
      <xdr:rowOff>0</xdr:rowOff>
    </xdr:from>
    <xdr:to>
      <xdr:col>6</xdr:col>
      <xdr:colOff>304800</xdr:colOff>
      <xdr:row>31</xdr:row>
      <xdr:rowOff>114298</xdr:rowOff>
    </xdr:to>
    <xdr:sp macro="" textlink="">
      <xdr:nvSpPr>
        <xdr:cNvPr id="6" name="AutoShape 5" descr="Premium Member Only">
          <a:hlinkClick xmlns:r="http://schemas.openxmlformats.org/officeDocument/2006/relationships" r:id="rId1"/>
          <a:extLst>
            <a:ext uri="{FF2B5EF4-FFF2-40B4-BE49-F238E27FC236}">
              <a16:creationId xmlns:a16="http://schemas.microsoft.com/office/drawing/2014/main" id="{00000000-0008-0000-0400-000006000000}"/>
            </a:ext>
          </a:extLst>
        </xdr:cNvPr>
        <xdr:cNvSpPr>
          <a:spLocks noChangeAspect="1" noChangeArrowheads="1"/>
        </xdr:cNvSpPr>
      </xdr:nvSpPr>
      <xdr:spPr bwMode="auto">
        <a:xfrm>
          <a:off x="7480300" y="5676900"/>
          <a:ext cx="304800" cy="31114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1612901</xdr:colOff>
      <xdr:row>243</xdr:row>
      <xdr:rowOff>7238</xdr:rowOff>
    </xdr:from>
    <xdr:to>
      <xdr:col>1</xdr:col>
      <xdr:colOff>831851</xdr:colOff>
      <xdr:row>255</xdr:row>
      <xdr:rowOff>146166</xdr:rowOff>
    </xdr:to>
    <xdr:pic>
      <xdr:nvPicPr>
        <xdr:cNvPr id="7" name="Picture 6" descr="Patrick Star - Wikipedia">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12901" y="48070388"/>
          <a:ext cx="2241550" cy="25138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52149</xdr:colOff>
      <xdr:row>314</xdr:row>
      <xdr:rowOff>0</xdr:rowOff>
    </xdr:from>
    <xdr:to>
      <xdr:col>3</xdr:col>
      <xdr:colOff>332790</xdr:colOff>
      <xdr:row>324</xdr:row>
      <xdr:rowOff>161721</xdr:rowOff>
    </xdr:to>
    <xdr:pic>
      <xdr:nvPicPr>
        <xdr:cNvPr id="8" name="Picture 7">
          <a:extLst>
            <a:ext uri="{FF2B5EF4-FFF2-40B4-BE49-F238E27FC236}">
              <a16:creationId xmlns:a16="http://schemas.microsoft.com/office/drawing/2014/main" id="{28714365-65DF-4432-8F1B-B7BA858702E8}"/>
            </a:ext>
          </a:extLst>
        </xdr:cNvPr>
        <xdr:cNvPicPr>
          <a:picLocks noChangeAspect="1"/>
        </xdr:cNvPicPr>
      </xdr:nvPicPr>
      <xdr:blipFill>
        <a:blip xmlns:r="http://schemas.openxmlformats.org/officeDocument/2006/relationships" r:embed="rId3"/>
        <a:stretch>
          <a:fillRect/>
        </a:stretch>
      </xdr:blipFill>
      <xdr:spPr>
        <a:xfrm>
          <a:off x="533162" y="74664340"/>
          <a:ext cx="5700366" cy="197147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269847</xdr:colOff>
      <xdr:row>2</xdr:row>
      <xdr:rowOff>148974</xdr:rowOff>
    </xdr:from>
    <xdr:to>
      <xdr:col>6</xdr:col>
      <xdr:colOff>1116501</xdr:colOff>
      <xdr:row>37</xdr:row>
      <xdr:rowOff>64325</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269847" y="529974"/>
          <a:ext cx="9349304" cy="6805101"/>
        </a:xfrm>
        <a:prstGeom prst="rect">
          <a:avLst/>
        </a:prstGeom>
      </xdr:spPr>
    </xdr:pic>
    <xdr:clientData/>
  </xdr:twoCellAnchor>
  <xdr:twoCellAnchor editAs="oneCell">
    <xdr:from>
      <xdr:col>3</xdr:col>
      <xdr:colOff>19050</xdr:colOff>
      <xdr:row>179</xdr:row>
      <xdr:rowOff>76200</xdr:rowOff>
    </xdr:from>
    <xdr:to>
      <xdr:col>6</xdr:col>
      <xdr:colOff>552450</xdr:colOff>
      <xdr:row>182</xdr:row>
      <xdr:rowOff>2476500</xdr:rowOff>
    </xdr:to>
    <xdr:pic>
      <xdr:nvPicPr>
        <xdr:cNvPr id="3" name="Picture 2">
          <a:extLst>
            <a:ext uri="{FF2B5EF4-FFF2-40B4-BE49-F238E27FC236}">
              <a16:creationId xmlns:a16="http://schemas.microsoft.com/office/drawing/2014/main" id="{00000000-0008-0000-0500-000003000000}"/>
            </a:ext>
            <a:ext uri="{147F2762-F138-4A5C-976F-8EAC2B608ADB}">
              <a16:predDERef xmlns:a16="http://schemas.microsoft.com/office/drawing/2014/main" pred="{00000000-0008-0000-0100-000002000000}"/>
            </a:ext>
          </a:extLst>
        </xdr:cNvPr>
        <xdr:cNvPicPr>
          <a:picLocks noChangeAspect="1"/>
        </xdr:cNvPicPr>
      </xdr:nvPicPr>
      <xdr:blipFill>
        <a:blip xmlns:r="http://schemas.openxmlformats.org/officeDocument/2006/relationships" r:embed="rId2"/>
        <a:stretch>
          <a:fillRect/>
        </a:stretch>
      </xdr:blipFill>
      <xdr:spPr>
        <a:xfrm>
          <a:off x="4349750" y="38423850"/>
          <a:ext cx="4705350" cy="2952750"/>
        </a:xfrm>
        <a:prstGeom prst="rect">
          <a:avLst/>
        </a:prstGeom>
      </xdr:spPr>
    </xdr:pic>
    <xdr:clientData/>
  </xdr:twoCellAnchor>
  <xdr:twoCellAnchor editAs="oneCell">
    <xdr:from>
      <xdr:col>6</xdr:col>
      <xdr:colOff>1057275</xdr:colOff>
      <xdr:row>341</xdr:row>
      <xdr:rowOff>195263</xdr:rowOff>
    </xdr:from>
    <xdr:to>
      <xdr:col>11</xdr:col>
      <xdr:colOff>439735</xdr:colOff>
      <xdr:row>356</xdr:row>
      <xdr:rowOff>160379</xdr:rowOff>
    </xdr:to>
    <xdr:pic>
      <xdr:nvPicPr>
        <xdr:cNvPr id="4" name="Picture 3">
          <a:extLst>
            <a:ext uri="{FF2B5EF4-FFF2-40B4-BE49-F238E27FC236}">
              <a16:creationId xmlns:a16="http://schemas.microsoft.com/office/drawing/2014/main" id="{78C28585-9B18-45D5-B330-3703C65BE0C6}"/>
            </a:ext>
          </a:extLst>
        </xdr:cNvPr>
        <xdr:cNvPicPr>
          <a:picLocks noChangeAspect="1"/>
        </xdr:cNvPicPr>
      </xdr:nvPicPr>
      <xdr:blipFill>
        <a:blip xmlns:r="http://schemas.openxmlformats.org/officeDocument/2006/relationships" r:embed="rId3"/>
        <a:stretch>
          <a:fillRect/>
        </a:stretch>
      </xdr:blipFill>
      <xdr:spPr>
        <a:xfrm>
          <a:off x="9801225" y="73513951"/>
          <a:ext cx="5049836" cy="3389353"/>
        </a:xfrm>
        <a:prstGeom prst="rect">
          <a:avLst/>
        </a:prstGeom>
      </xdr:spPr>
    </xdr:pic>
    <xdr:clientData/>
  </xdr:twoCellAnchor>
  <xdr:twoCellAnchor editAs="oneCell">
    <xdr:from>
      <xdr:col>0</xdr:col>
      <xdr:colOff>66472</xdr:colOff>
      <xdr:row>386</xdr:row>
      <xdr:rowOff>177190</xdr:rowOff>
    </xdr:from>
    <xdr:to>
      <xdr:col>3</xdr:col>
      <xdr:colOff>2027379</xdr:colOff>
      <xdr:row>408</xdr:row>
      <xdr:rowOff>178997</xdr:rowOff>
    </xdr:to>
    <xdr:pic>
      <xdr:nvPicPr>
        <xdr:cNvPr id="5" name="Picture 4">
          <a:extLst>
            <a:ext uri="{FF2B5EF4-FFF2-40B4-BE49-F238E27FC236}">
              <a16:creationId xmlns:a16="http://schemas.microsoft.com/office/drawing/2014/main" id="{839FA4CC-9F07-9CF7-6E21-6702BE215A34}"/>
            </a:ext>
          </a:extLst>
        </xdr:cNvPr>
        <xdr:cNvPicPr>
          <a:picLocks noChangeAspect="1"/>
        </xdr:cNvPicPr>
      </xdr:nvPicPr>
      <xdr:blipFill>
        <a:blip xmlns:r="http://schemas.openxmlformats.org/officeDocument/2006/relationships" r:embed="rId4"/>
        <a:stretch>
          <a:fillRect/>
        </a:stretch>
      </xdr:blipFill>
      <xdr:spPr>
        <a:xfrm>
          <a:off x="66472" y="83600316"/>
          <a:ext cx="6387590" cy="402685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gurufocus.com/stock/HLT/summary" TargetMode="External"/><Relationship Id="rId3" Type="http://schemas.openxmlformats.org/officeDocument/2006/relationships/hyperlink" Target="https://www.gurufocus.com/stock/WH/summary" TargetMode="External"/><Relationship Id="rId7" Type="http://schemas.openxmlformats.org/officeDocument/2006/relationships/hyperlink" Target="https://www.gurufocus.com/stock/MAR/summary" TargetMode="External"/><Relationship Id="rId2" Type="http://schemas.openxmlformats.org/officeDocument/2006/relationships/hyperlink" Target="https://www.gurufocus.com/stock/STAY/summary" TargetMode="External"/><Relationship Id="rId1" Type="http://schemas.openxmlformats.org/officeDocument/2006/relationships/hyperlink" Target="https://www.gurufocus.com/stock/GHG/summary" TargetMode="External"/><Relationship Id="rId6" Type="http://schemas.openxmlformats.org/officeDocument/2006/relationships/hyperlink" Target="https://www.gurufocus.com/stock/HTHT/summary" TargetMode="External"/><Relationship Id="rId5" Type="http://schemas.openxmlformats.org/officeDocument/2006/relationships/hyperlink" Target="https://www.gurufocus.com/stock/H/summary" TargetMode="External"/><Relationship Id="rId4" Type="http://schemas.openxmlformats.org/officeDocument/2006/relationships/hyperlink" Target="https://www.gurufocus.com/stock/CHH/summary"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D5D64-D123-4A9C-8DF6-DED1EC3D73C3}">
  <dimension ref="A1:U186"/>
  <sheetViews>
    <sheetView topLeftCell="A194" zoomScaleNormal="100" workbookViewId="0">
      <selection activeCell="D101" sqref="D101"/>
    </sheetView>
  </sheetViews>
  <sheetFormatPr defaultRowHeight="14.25"/>
  <cols>
    <col min="1" max="1" width="32.86328125" customWidth="1"/>
    <col min="2" max="2" width="39.265625" customWidth="1"/>
    <col min="3" max="4" width="13.3984375" bestFit="1" customWidth="1"/>
    <col min="6" max="6" width="19.73046875" bestFit="1" customWidth="1"/>
    <col min="7" max="7" width="13.3984375" customWidth="1"/>
    <col min="8" max="8" width="13.3984375" bestFit="1" customWidth="1"/>
    <col min="9" max="9" width="22.3984375" bestFit="1" customWidth="1"/>
    <col min="10" max="10" width="13.3984375" bestFit="1" customWidth="1"/>
    <col min="11" max="11" width="19.1328125" customWidth="1"/>
    <col min="13" max="13" width="11.19921875" bestFit="1" customWidth="1"/>
  </cols>
  <sheetData>
    <row r="1" spans="1:12" s="2" customFormat="1">
      <c r="A1" s="347">
        <v>1</v>
      </c>
    </row>
    <row r="3" spans="1:12">
      <c r="A3" s="963" t="s">
        <v>1029</v>
      </c>
      <c r="B3" s="964"/>
      <c r="C3" s="964"/>
      <c r="D3" s="964"/>
      <c r="E3" s="964"/>
      <c r="F3" s="964"/>
      <c r="G3" s="964"/>
      <c r="H3" s="964"/>
      <c r="I3" s="964"/>
      <c r="J3" s="964"/>
      <c r="K3" s="964"/>
      <c r="L3" s="965"/>
    </row>
    <row r="4" spans="1:12">
      <c r="A4" s="966"/>
      <c r="B4" s="967"/>
      <c r="C4" s="967"/>
      <c r="D4" s="967"/>
      <c r="E4" s="967"/>
      <c r="F4" s="967"/>
      <c r="G4" s="967"/>
      <c r="H4" s="967"/>
      <c r="I4" s="967"/>
      <c r="J4" s="967"/>
      <c r="K4" s="967"/>
      <c r="L4" s="968"/>
    </row>
    <row r="5" spans="1:12">
      <c r="A5" s="966"/>
      <c r="B5" s="967"/>
      <c r="C5" s="967"/>
      <c r="D5" s="967"/>
      <c r="E5" s="967"/>
      <c r="F5" s="967"/>
      <c r="G5" s="967"/>
      <c r="H5" s="967"/>
      <c r="I5" s="967"/>
      <c r="J5" s="967"/>
      <c r="K5" s="967"/>
      <c r="L5" s="968"/>
    </row>
    <row r="6" spans="1:12">
      <c r="A6" s="966"/>
      <c r="B6" s="967"/>
      <c r="C6" s="967"/>
      <c r="D6" s="967"/>
      <c r="E6" s="967"/>
      <c r="F6" s="967"/>
      <c r="G6" s="967"/>
      <c r="H6" s="967"/>
      <c r="I6" s="967"/>
      <c r="J6" s="967"/>
      <c r="K6" s="967"/>
      <c r="L6" s="968"/>
    </row>
    <row r="7" spans="1:12">
      <c r="A7" s="966"/>
      <c r="B7" s="967"/>
      <c r="C7" s="967"/>
      <c r="D7" s="967"/>
      <c r="E7" s="967"/>
      <c r="F7" s="967"/>
      <c r="G7" s="967"/>
      <c r="H7" s="967"/>
      <c r="I7" s="967"/>
      <c r="J7" s="967"/>
      <c r="K7" s="967"/>
      <c r="L7" s="968"/>
    </row>
    <row r="8" spans="1:12">
      <c r="A8" s="966"/>
      <c r="B8" s="967"/>
      <c r="C8" s="967"/>
      <c r="D8" s="967"/>
      <c r="E8" s="967"/>
      <c r="F8" s="967"/>
      <c r="G8" s="967"/>
      <c r="H8" s="967"/>
      <c r="I8" s="967"/>
      <c r="J8" s="967"/>
      <c r="K8" s="967"/>
      <c r="L8" s="968"/>
    </row>
    <row r="9" spans="1:12" ht="21" customHeight="1">
      <c r="A9" s="969"/>
      <c r="B9" s="970"/>
      <c r="C9" s="970"/>
      <c r="D9" s="970"/>
      <c r="E9" s="970"/>
      <c r="F9" s="970"/>
      <c r="G9" s="970"/>
      <c r="H9" s="970"/>
      <c r="I9" s="970"/>
      <c r="J9" s="970"/>
      <c r="K9" s="970"/>
      <c r="L9" s="971"/>
    </row>
    <row r="10" spans="1:12" ht="31.5">
      <c r="A10" s="781" t="s">
        <v>1028</v>
      </c>
      <c r="B10" s="781" t="s">
        <v>1027</v>
      </c>
      <c r="C10" s="781"/>
      <c r="D10" s="781"/>
      <c r="E10" s="781"/>
      <c r="F10" s="781"/>
      <c r="G10" s="781"/>
      <c r="H10" s="781"/>
      <c r="I10" s="781"/>
      <c r="J10" s="781"/>
      <c r="K10" s="781"/>
      <c r="L10" s="781"/>
    </row>
    <row r="13" spans="1:12">
      <c r="B13" s="962"/>
    </row>
    <row r="14" spans="1:12">
      <c r="B14" s="961"/>
    </row>
    <row r="15" spans="1:12">
      <c r="B15" s="960"/>
    </row>
    <row r="17" spans="1:21" s="2" customFormat="1">
      <c r="A17" s="347">
        <v>2</v>
      </c>
    </row>
    <row r="19" spans="1:21" ht="21" customHeight="1">
      <c r="A19" s="974" t="s">
        <v>1026</v>
      </c>
      <c r="B19" s="975"/>
      <c r="C19" s="975"/>
      <c r="D19" s="975"/>
      <c r="E19" s="975"/>
      <c r="F19" s="975"/>
      <c r="G19" s="975"/>
      <c r="H19" s="975"/>
      <c r="I19" s="975"/>
      <c r="J19" s="975"/>
      <c r="K19" s="975"/>
      <c r="L19" s="975"/>
    </row>
    <row r="20" spans="1:21" ht="21" customHeight="1">
      <c r="A20" s="972" t="s">
        <v>1025</v>
      </c>
      <c r="B20" s="973"/>
      <c r="C20" s="973"/>
      <c r="D20" s="973"/>
      <c r="E20" s="973"/>
      <c r="F20" s="973"/>
      <c r="G20" s="973"/>
      <c r="H20" s="973"/>
      <c r="I20" s="973"/>
      <c r="J20" s="973"/>
      <c r="K20" s="973"/>
      <c r="L20" s="973"/>
    </row>
    <row r="21" spans="1:21">
      <c r="A21" s="972"/>
      <c r="B21" s="973"/>
      <c r="C21" s="973"/>
      <c r="D21" s="973"/>
      <c r="E21" s="973"/>
      <c r="F21" s="973"/>
      <c r="G21" s="973"/>
      <c r="H21" s="973"/>
      <c r="I21" s="973"/>
      <c r="J21" s="973"/>
      <c r="K21" s="973"/>
      <c r="L21" s="973"/>
    </row>
    <row r="23" spans="1:21" s="2" customFormat="1">
      <c r="A23" s="347">
        <v>3</v>
      </c>
    </row>
    <row r="25" spans="1:21" ht="21.4" thickBot="1">
      <c r="A25" s="976" t="str">
        <f>"Question 1 - Points "&amp;SUM(L26:L27)</f>
        <v>Question 1 - Points 4</v>
      </c>
      <c r="B25" s="977"/>
      <c r="C25" s="977"/>
      <c r="D25" s="977"/>
      <c r="E25" s="977"/>
      <c r="F25" s="977"/>
      <c r="G25" s="977"/>
      <c r="H25" s="977"/>
      <c r="I25" s="977"/>
      <c r="J25" s="977"/>
      <c r="K25" s="977"/>
      <c r="L25" s="549" t="s">
        <v>635</v>
      </c>
    </row>
    <row r="26" spans="1:21" ht="21.4" thickBot="1">
      <c r="A26" s="978" t="s">
        <v>1024</v>
      </c>
      <c r="B26" s="979"/>
      <c r="C26" s="979"/>
      <c r="D26" s="979"/>
      <c r="E26" s="979"/>
      <c r="F26" s="979"/>
      <c r="G26" s="979"/>
      <c r="H26" s="979"/>
      <c r="I26" s="979"/>
      <c r="J26" s="979"/>
      <c r="K26" s="980"/>
      <c r="L26" s="550">
        <v>2</v>
      </c>
    </row>
    <row r="27" spans="1:21" ht="21.4" thickBot="1">
      <c r="A27" s="978" t="s">
        <v>1023</v>
      </c>
      <c r="B27" s="979"/>
      <c r="C27" s="979"/>
      <c r="D27" s="979"/>
      <c r="E27" s="979"/>
      <c r="F27" s="979"/>
      <c r="G27" s="979"/>
      <c r="H27" s="979"/>
      <c r="I27" s="979"/>
      <c r="J27" s="979"/>
      <c r="K27" s="980"/>
      <c r="L27" s="550">
        <v>2</v>
      </c>
    </row>
    <row r="29" spans="1:21" s="2" customFormat="1">
      <c r="A29" s="347">
        <v>4</v>
      </c>
    </row>
    <row r="30" spans="1:21" ht="14.65" thickBot="1"/>
    <row r="31" spans="1:21" ht="18.399999999999999" thickBot="1">
      <c r="A31" s="686" t="s">
        <v>1022</v>
      </c>
      <c r="B31" s="685"/>
      <c r="C31" s="685"/>
      <c r="D31" s="685"/>
      <c r="E31" s="685"/>
      <c r="F31" s="685"/>
      <c r="G31" s="685"/>
      <c r="H31" s="685"/>
      <c r="I31" s="685"/>
      <c r="J31" s="685"/>
      <c r="K31" s="685"/>
      <c r="L31" s="685"/>
      <c r="M31" s="685"/>
      <c r="N31" s="685"/>
      <c r="O31" s="685"/>
      <c r="P31" s="685"/>
      <c r="Q31" s="685"/>
      <c r="R31" s="685"/>
      <c r="S31" s="685"/>
      <c r="T31" s="685"/>
      <c r="U31" s="959"/>
    </row>
    <row r="32" spans="1:21" ht="18">
      <c r="A32" s="684" t="s">
        <v>1021</v>
      </c>
      <c r="B32" s="684"/>
      <c r="C32" s="684"/>
      <c r="D32" s="684"/>
      <c r="E32" s="684"/>
      <c r="F32" s="684"/>
      <c r="G32" s="684"/>
      <c r="H32" s="684"/>
      <c r="I32" s="684"/>
      <c r="J32" s="684"/>
      <c r="K32" s="684"/>
      <c r="L32" s="684"/>
      <c r="M32" s="684"/>
      <c r="N32" s="684"/>
      <c r="O32" s="684"/>
      <c r="P32" s="684"/>
      <c r="Q32" s="684"/>
      <c r="R32" s="684"/>
      <c r="S32" s="684"/>
      <c r="T32" s="684"/>
      <c r="U32" s="687"/>
    </row>
    <row r="33" spans="1:21" ht="18">
      <c r="A33" s="684" t="s">
        <v>1020</v>
      </c>
      <c r="B33" s="684"/>
      <c r="C33" s="684"/>
      <c r="D33" s="684"/>
      <c r="E33" s="684"/>
      <c r="F33" s="684"/>
      <c r="G33" s="684"/>
      <c r="H33" s="684"/>
      <c r="I33" s="684"/>
      <c r="J33" s="684"/>
      <c r="K33" s="684"/>
      <c r="L33" s="684"/>
      <c r="M33" s="684"/>
      <c r="N33" s="684"/>
      <c r="O33" s="684"/>
      <c r="P33" s="684"/>
      <c r="Q33" s="684"/>
      <c r="R33" s="684"/>
      <c r="S33" s="684"/>
      <c r="T33" s="684"/>
      <c r="U33" s="687"/>
    </row>
    <row r="34" spans="1:21" ht="18">
      <c r="A34" s="684" t="s">
        <v>1019</v>
      </c>
      <c r="B34" s="684"/>
      <c r="C34" s="684"/>
      <c r="D34" s="684"/>
      <c r="E34" s="684"/>
      <c r="F34" s="684"/>
      <c r="G34" s="684"/>
      <c r="H34" s="684"/>
      <c r="I34" s="684"/>
      <c r="J34" s="684"/>
      <c r="K34" s="684"/>
      <c r="L34" s="684"/>
      <c r="M34" s="684"/>
      <c r="N34" s="684"/>
      <c r="O34" s="684"/>
      <c r="P34" s="684"/>
      <c r="Q34" s="684"/>
      <c r="R34" s="684"/>
      <c r="S34" s="684"/>
      <c r="T34" s="684"/>
      <c r="U34" s="687"/>
    </row>
    <row r="35" spans="1:21" ht="18">
      <c r="A35" s="684" t="s">
        <v>1018</v>
      </c>
      <c r="B35" s="684"/>
      <c r="C35" s="684"/>
      <c r="D35" s="684"/>
      <c r="E35" s="684"/>
      <c r="F35" s="684"/>
      <c r="G35" s="684"/>
      <c r="H35" s="684"/>
      <c r="I35" s="684"/>
      <c r="J35" s="684"/>
      <c r="K35" s="684"/>
      <c r="L35" s="684"/>
      <c r="M35" s="684"/>
      <c r="N35" s="684"/>
      <c r="O35" s="684"/>
      <c r="P35" s="684"/>
      <c r="Q35" s="684"/>
      <c r="R35" s="684"/>
      <c r="S35" s="684"/>
      <c r="T35" s="684"/>
      <c r="U35" s="687"/>
    </row>
    <row r="36" spans="1:21" ht="18">
      <c r="A36" s="684"/>
      <c r="B36" s="684"/>
      <c r="C36" s="684"/>
      <c r="D36" s="684"/>
      <c r="E36" s="684"/>
      <c r="F36" s="684"/>
      <c r="G36" s="684"/>
      <c r="H36" s="684"/>
      <c r="I36" s="684"/>
      <c r="J36" s="684"/>
      <c r="K36" s="684"/>
      <c r="L36" s="684"/>
      <c r="M36" s="684"/>
      <c r="N36" s="684"/>
      <c r="O36" s="684"/>
      <c r="P36" s="684"/>
      <c r="Q36" s="684"/>
      <c r="R36" s="684"/>
      <c r="S36" s="684"/>
      <c r="T36" s="684"/>
      <c r="U36" s="687"/>
    </row>
    <row r="37" spans="1:21" ht="18">
      <c r="A37" s="684" t="s">
        <v>1017</v>
      </c>
      <c r="B37" s="684"/>
      <c r="C37" s="684"/>
      <c r="D37" s="684"/>
      <c r="E37" s="684"/>
      <c r="F37" s="684"/>
      <c r="G37" s="684"/>
      <c r="H37" s="684"/>
      <c r="I37" s="684"/>
      <c r="J37" s="684"/>
      <c r="K37" s="684"/>
      <c r="L37" s="684"/>
      <c r="M37" s="684"/>
      <c r="N37" s="684"/>
      <c r="O37" s="684"/>
      <c r="P37" s="684"/>
      <c r="Q37" s="684"/>
      <c r="R37" s="684"/>
      <c r="S37" s="684"/>
      <c r="T37" s="684"/>
      <c r="U37" s="687"/>
    </row>
    <row r="38" spans="1:21" ht="18">
      <c r="A38" s="684" t="s">
        <v>1016</v>
      </c>
      <c r="B38" s="684"/>
      <c r="C38" s="684"/>
      <c r="D38" s="684"/>
      <c r="E38" s="684"/>
      <c r="F38" s="684"/>
      <c r="G38" s="684"/>
      <c r="H38" s="684"/>
      <c r="I38" s="684"/>
      <c r="J38" s="684"/>
      <c r="K38" s="684"/>
      <c r="L38" s="684"/>
      <c r="M38" s="684"/>
      <c r="N38" s="684"/>
      <c r="O38" s="684"/>
      <c r="P38" s="684"/>
      <c r="Q38" s="684"/>
      <c r="R38" s="684"/>
      <c r="S38" s="684"/>
      <c r="T38" s="684"/>
      <c r="U38" s="687"/>
    </row>
    <row r="39" spans="1:21" ht="18">
      <c r="A39" s="684"/>
      <c r="B39" s="684"/>
      <c r="C39" s="684"/>
      <c r="D39" s="684"/>
      <c r="E39" s="684"/>
      <c r="F39" s="684"/>
      <c r="G39" s="684"/>
      <c r="H39" s="684"/>
      <c r="I39" s="684"/>
      <c r="J39" s="684"/>
      <c r="K39" s="684"/>
      <c r="L39" s="684"/>
      <c r="M39" s="684"/>
      <c r="N39" s="684"/>
      <c r="O39" s="684"/>
      <c r="P39" s="684"/>
      <c r="Q39" s="684"/>
      <c r="R39" s="684"/>
      <c r="S39" s="684"/>
      <c r="T39" s="684"/>
      <c r="U39" s="687"/>
    </row>
    <row r="40" spans="1:21" ht="18">
      <c r="A40" s="684" t="s">
        <v>1015</v>
      </c>
      <c r="B40" s="684"/>
      <c r="C40" s="684"/>
      <c r="D40" s="684"/>
      <c r="E40" s="684"/>
      <c r="F40" s="684"/>
      <c r="G40" s="684"/>
      <c r="H40" s="684"/>
      <c r="I40" s="684"/>
      <c r="J40" s="684"/>
      <c r="K40" s="684"/>
      <c r="L40" s="684"/>
      <c r="M40" s="684"/>
      <c r="N40" s="684"/>
      <c r="O40" s="684"/>
      <c r="P40" s="684"/>
      <c r="Q40" s="684"/>
      <c r="R40" s="684"/>
      <c r="S40" s="684"/>
      <c r="T40" s="684"/>
      <c r="U40" s="687"/>
    </row>
    <row r="41" spans="1:21" ht="18">
      <c r="A41" s="684"/>
      <c r="B41" s="684"/>
      <c r="C41" s="684"/>
      <c r="D41" s="684"/>
      <c r="E41" s="684"/>
      <c r="F41" s="684"/>
      <c r="G41" s="684"/>
      <c r="H41" s="684"/>
      <c r="I41" s="684"/>
      <c r="J41" s="684"/>
      <c r="K41" s="684"/>
      <c r="L41" s="684"/>
      <c r="M41" s="684"/>
      <c r="N41" s="684"/>
      <c r="O41" s="684"/>
      <c r="P41" s="684"/>
      <c r="Q41" s="684"/>
      <c r="R41" s="684"/>
      <c r="S41" s="684"/>
      <c r="T41" s="684"/>
      <c r="U41" s="687"/>
    </row>
    <row r="42" spans="1:21" ht="21">
      <c r="A42" s="683" t="s">
        <v>1014</v>
      </c>
      <c r="B42" s="684" t="s">
        <v>1013</v>
      </c>
      <c r="C42" s="684"/>
      <c r="D42" s="684"/>
      <c r="E42" s="684"/>
      <c r="F42" s="684"/>
      <c r="G42" s="684"/>
      <c r="H42" s="684"/>
      <c r="I42" s="684"/>
      <c r="J42" s="684"/>
      <c r="K42" s="684"/>
      <c r="L42" s="684"/>
      <c r="M42" s="684"/>
      <c r="N42" s="684"/>
      <c r="O42" s="684"/>
      <c r="P42" s="684"/>
      <c r="Q42" s="684"/>
      <c r="R42" s="684"/>
      <c r="S42" s="684"/>
      <c r="T42" s="684"/>
      <c r="U42" s="687">
        <v>4</v>
      </c>
    </row>
    <row r="43" spans="1:21" ht="18">
      <c r="A43" s="684"/>
      <c r="B43" s="684"/>
      <c r="C43" s="684"/>
      <c r="D43" s="684"/>
      <c r="E43" s="684"/>
      <c r="F43" s="684"/>
      <c r="G43" s="684"/>
      <c r="H43" s="684"/>
      <c r="I43" s="684"/>
      <c r="J43" s="684"/>
      <c r="K43" s="684"/>
      <c r="L43" s="684"/>
      <c r="M43" s="684"/>
      <c r="N43" s="684"/>
      <c r="O43" s="684"/>
      <c r="P43" s="684"/>
      <c r="Q43" s="684"/>
      <c r="R43" s="684"/>
      <c r="S43" s="684"/>
      <c r="T43" s="684"/>
      <c r="U43" s="687"/>
    </row>
    <row r="44" spans="1:21" ht="18">
      <c r="A44" s="684" t="s">
        <v>1012</v>
      </c>
      <c r="B44" s="684"/>
      <c r="C44" s="684"/>
      <c r="D44" s="684"/>
      <c r="E44" s="684"/>
      <c r="F44" s="684"/>
      <c r="G44" s="684"/>
      <c r="H44" s="684"/>
      <c r="I44" s="684"/>
      <c r="J44" s="684"/>
      <c r="K44" s="684"/>
      <c r="L44" s="684"/>
      <c r="M44" s="684"/>
      <c r="N44" s="684"/>
      <c r="O44" s="684"/>
      <c r="P44" s="684"/>
      <c r="Q44" s="684"/>
      <c r="R44" s="684"/>
      <c r="S44" s="684"/>
      <c r="T44" s="684"/>
      <c r="U44" s="687"/>
    </row>
    <row r="45" spans="1:21" ht="18">
      <c r="A45" s="684" t="s">
        <v>1011</v>
      </c>
      <c r="B45" s="684"/>
      <c r="C45" s="684"/>
      <c r="D45" s="684"/>
      <c r="E45" s="684"/>
      <c r="F45" s="684"/>
      <c r="G45" s="684"/>
      <c r="H45" s="684"/>
      <c r="I45" s="684"/>
      <c r="J45" s="684"/>
      <c r="K45" s="684"/>
      <c r="L45" s="684"/>
      <c r="M45" s="684"/>
      <c r="N45" s="684"/>
      <c r="O45" s="684"/>
      <c r="P45" s="684"/>
      <c r="Q45" s="684"/>
      <c r="R45" s="684"/>
      <c r="S45" s="684"/>
      <c r="T45" s="684"/>
      <c r="U45" s="687"/>
    </row>
    <row r="46" spans="1:21" ht="18">
      <c r="A46" s="684"/>
      <c r="B46" s="684"/>
      <c r="C46" s="684"/>
      <c r="D46" s="684"/>
      <c r="E46" s="684"/>
      <c r="F46" s="684"/>
      <c r="G46" s="684"/>
      <c r="H46" s="684"/>
      <c r="I46" s="684"/>
      <c r="J46" s="684"/>
      <c r="K46" s="684"/>
      <c r="L46" s="684"/>
      <c r="M46" s="684"/>
      <c r="N46" s="684"/>
      <c r="O46" s="684"/>
      <c r="P46" s="684"/>
      <c r="Q46" s="684"/>
      <c r="R46" s="684"/>
      <c r="S46" s="684"/>
      <c r="T46" s="684"/>
      <c r="U46" s="687"/>
    </row>
    <row r="47" spans="1:21" ht="21">
      <c r="A47" s="683" t="s">
        <v>1010</v>
      </c>
      <c r="B47" s="684" t="s">
        <v>1009</v>
      </c>
      <c r="C47" s="684"/>
      <c r="D47" s="684"/>
      <c r="E47" s="684"/>
      <c r="F47" s="684"/>
      <c r="G47" s="684"/>
      <c r="H47" s="684"/>
      <c r="I47" s="684"/>
      <c r="J47" s="684"/>
      <c r="K47" s="684"/>
      <c r="L47" s="684"/>
      <c r="M47" s="684"/>
      <c r="N47" s="684"/>
      <c r="O47" s="684"/>
      <c r="P47" s="684"/>
      <c r="Q47" s="684"/>
      <c r="R47" s="684"/>
      <c r="S47" s="684"/>
      <c r="T47" s="684"/>
      <c r="U47" s="687">
        <v>4</v>
      </c>
    </row>
    <row r="49" spans="1:13" s="2" customFormat="1">
      <c r="A49" s="161">
        <v>5</v>
      </c>
    </row>
    <row r="50" spans="1:13">
      <c r="F50" s="919"/>
      <c r="G50" s="919">
        <v>2020</v>
      </c>
      <c r="H50" s="919">
        <v>2021</v>
      </c>
      <c r="I50" s="919"/>
      <c r="J50" s="919">
        <v>2020</v>
      </c>
      <c r="K50" s="919">
        <v>2021</v>
      </c>
    </row>
    <row r="51" spans="1:13">
      <c r="A51" s="956" t="s">
        <v>0</v>
      </c>
      <c r="B51" s="955"/>
      <c r="C51" s="955"/>
      <c r="D51" s="955"/>
      <c r="E51" s="955"/>
      <c r="F51" s="956" t="s">
        <v>1</v>
      </c>
      <c r="G51" s="956"/>
      <c r="H51" s="956"/>
      <c r="I51" s="956" t="s">
        <v>2</v>
      </c>
      <c r="J51" s="956"/>
      <c r="K51" s="956"/>
      <c r="L51" s="954"/>
      <c r="M51" s="954"/>
    </row>
    <row r="52" spans="1:13">
      <c r="A52" s="956"/>
      <c r="B52" s="956" t="s">
        <v>3</v>
      </c>
      <c r="C52" s="956" t="s">
        <v>4</v>
      </c>
      <c r="D52" s="956" t="s">
        <v>5</v>
      </c>
      <c r="E52" s="955"/>
      <c r="F52" s="956" t="s">
        <v>6</v>
      </c>
      <c r="G52" s="955"/>
      <c r="H52" s="955"/>
      <c r="I52" s="955"/>
      <c r="J52" s="955"/>
      <c r="K52" s="955"/>
      <c r="L52" s="954"/>
      <c r="M52" s="954"/>
    </row>
    <row r="53" spans="1:13">
      <c r="A53" s="956" t="s">
        <v>7</v>
      </c>
      <c r="B53" s="955">
        <v>8530964.4000000004</v>
      </c>
      <c r="C53" s="955">
        <v>4473186.5999999996</v>
      </c>
      <c r="D53" s="955">
        <v>4057777.8000000007</v>
      </c>
      <c r="E53" s="955"/>
      <c r="F53" s="956" t="s">
        <v>8</v>
      </c>
      <c r="G53" s="955">
        <v>4770618</v>
      </c>
      <c r="H53" s="955">
        <v>3743092</v>
      </c>
      <c r="I53" s="956" t="s">
        <v>9</v>
      </c>
      <c r="J53" s="955">
        <v>885654</v>
      </c>
      <c r="K53" s="955">
        <v>877832</v>
      </c>
      <c r="L53" s="954"/>
      <c r="M53" s="954"/>
    </row>
    <row r="54" spans="1:13">
      <c r="A54" s="956" t="s">
        <v>10</v>
      </c>
      <c r="B54" s="955">
        <v>14218274</v>
      </c>
      <c r="C54" s="955">
        <v>7455311</v>
      </c>
      <c r="D54" s="955">
        <v>6762963</v>
      </c>
      <c r="E54" s="955"/>
      <c r="F54" s="956" t="s">
        <v>11</v>
      </c>
      <c r="G54" s="955">
        <v>4470618</v>
      </c>
      <c r="H54" s="955">
        <v>4427526</v>
      </c>
      <c r="I54" s="956" t="s">
        <v>12</v>
      </c>
      <c r="J54" s="955">
        <v>623988</v>
      </c>
      <c r="K54" s="955">
        <v>646156</v>
      </c>
      <c r="L54" s="954"/>
      <c r="M54" s="954"/>
    </row>
    <row r="55" spans="1:13">
      <c r="A55" s="956" t="s">
        <v>13</v>
      </c>
      <c r="B55" s="955">
        <v>5687309.6000000015</v>
      </c>
      <c r="C55" s="955">
        <v>2982124.4000000004</v>
      </c>
      <c r="D55" s="955">
        <v>2705185.2000000011</v>
      </c>
      <c r="E55" s="955"/>
      <c r="F55" s="956" t="s">
        <v>14</v>
      </c>
      <c r="G55" s="955">
        <v>118585</v>
      </c>
      <c r="H55" s="955">
        <v>91059</v>
      </c>
      <c r="I55" s="956" t="s">
        <v>15</v>
      </c>
      <c r="J55" s="955">
        <v>992684</v>
      </c>
      <c r="K55" s="955">
        <v>946528</v>
      </c>
      <c r="L55" s="954"/>
      <c r="M55" s="954"/>
    </row>
    <row r="56" spans="1:13">
      <c r="A56" s="955"/>
      <c r="B56" s="955">
        <v>28436548</v>
      </c>
      <c r="C56" s="955">
        <v>14910622</v>
      </c>
      <c r="D56" s="955">
        <v>13525926</v>
      </c>
      <c r="E56" s="955"/>
      <c r="F56" s="956" t="s">
        <v>16</v>
      </c>
      <c r="G56" s="955">
        <v>3272506</v>
      </c>
      <c r="H56" s="955">
        <v>3281447</v>
      </c>
      <c r="I56" s="956" t="s">
        <v>17</v>
      </c>
      <c r="J56" s="955">
        <v>649222</v>
      </c>
      <c r="K56" s="955">
        <v>602694</v>
      </c>
      <c r="L56" s="954"/>
      <c r="M56" s="954"/>
    </row>
    <row r="57" spans="1:13">
      <c r="A57" s="955"/>
      <c r="B57" s="955"/>
      <c r="C57" s="955"/>
      <c r="D57" s="955"/>
      <c r="E57" s="955"/>
      <c r="F57" s="956" t="s">
        <v>18</v>
      </c>
      <c r="G57" s="955">
        <v>442696</v>
      </c>
      <c r="H57" s="955">
        <v>461249</v>
      </c>
      <c r="I57" s="956" t="s">
        <v>19</v>
      </c>
      <c r="J57" s="955">
        <v>223632</v>
      </c>
      <c r="K57" s="955">
        <v>220938</v>
      </c>
      <c r="L57" s="954"/>
      <c r="M57" s="954"/>
    </row>
    <row r="58" spans="1:13">
      <c r="A58" s="955"/>
      <c r="B58" s="955"/>
      <c r="C58" s="955"/>
      <c r="D58" s="955"/>
      <c r="E58" s="955"/>
      <c r="F58" s="956" t="s">
        <v>20</v>
      </c>
      <c r="G58" s="955">
        <v>181412</v>
      </c>
      <c r="H58" s="955">
        <v>220163</v>
      </c>
      <c r="I58" s="956" t="s">
        <v>21</v>
      </c>
      <c r="J58" s="955">
        <v>3375180</v>
      </c>
      <c r="K58" s="955">
        <v>3294148</v>
      </c>
      <c r="L58" s="954"/>
      <c r="M58" s="954"/>
    </row>
    <row r="59" spans="1:13">
      <c r="A59" s="955"/>
      <c r="B59" s="956" t="s">
        <v>22</v>
      </c>
      <c r="C59" s="955"/>
      <c r="D59" s="955">
        <v>1499477</v>
      </c>
      <c r="E59" s="955"/>
      <c r="F59" s="956" t="s">
        <v>23</v>
      </c>
      <c r="G59" s="955">
        <v>13256435</v>
      </c>
      <c r="H59" s="955">
        <v>12224536</v>
      </c>
      <c r="I59" s="956"/>
      <c r="J59" s="955"/>
      <c r="K59" s="955"/>
      <c r="L59" s="954"/>
      <c r="M59" s="954"/>
    </row>
    <row r="60" spans="1:13">
      <c r="A60" s="955"/>
      <c r="B60" s="956" t="s">
        <v>24</v>
      </c>
      <c r="C60" s="955"/>
      <c r="D60" s="955">
        <v>1505431</v>
      </c>
      <c r="E60" s="955"/>
      <c r="F60" s="956"/>
      <c r="G60" s="955"/>
      <c r="H60" s="955"/>
      <c r="I60" s="956"/>
      <c r="J60" s="955"/>
      <c r="K60" s="955"/>
      <c r="L60" s="954"/>
      <c r="M60" s="958">
        <f>K61+K58</f>
        <v>4188577</v>
      </c>
    </row>
    <row r="61" spans="1:13">
      <c r="A61" s="955"/>
      <c r="B61" s="956" t="s">
        <v>25</v>
      </c>
      <c r="C61" s="955"/>
      <c r="D61" s="955">
        <v>2422147</v>
      </c>
      <c r="E61" s="955"/>
      <c r="F61" s="956"/>
      <c r="G61" s="955"/>
      <c r="H61" s="955"/>
      <c r="I61" s="956" t="s">
        <v>26</v>
      </c>
      <c r="J61" s="955">
        <v>894429</v>
      </c>
      <c r="K61" s="955">
        <v>894429</v>
      </c>
      <c r="L61" s="954"/>
      <c r="M61" s="954"/>
    </row>
    <row r="62" spans="1:13">
      <c r="A62" s="955"/>
      <c r="B62" s="956" t="s">
        <v>27</v>
      </c>
      <c r="C62" s="955"/>
      <c r="D62" s="955">
        <v>1150851</v>
      </c>
      <c r="E62" s="955"/>
      <c r="F62" s="956" t="s">
        <v>28</v>
      </c>
      <c r="G62" s="955">
        <v>2000000</v>
      </c>
      <c r="H62" s="955">
        <v>2000000</v>
      </c>
      <c r="I62" s="956"/>
      <c r="J62" s="955"/>
      <c r="K62" s="955"/>
      <c r="L62" s="954"/>
      <c r="M62" s="954">
        <f>M60/K68</f>
        <v>0.29514784038337438</v>
      </c>
    </row>
    <row r="63" spans="1:13">
      <c r="A63" s="955"/>
      <c r="B63" s="956" t="s">
        <v>29</v>
      </c>
      <c r="C63" s="955"/>
      <c r="D63" s="955">
        <v>698580</v>
      </c>
      <c r="E63" s="955"/>
      <c r="F63" s="956" t="s">
        <v>30</v>
      </c>
      <c r="G63" s="955">
        <v>5186709</v>
      </c>
      <c r="H63" s="955">
        <v>5186709</v>
      </c>
      <c r="I63" s="956"/>
      <c r="J63" s="955"/>
      <c r="K63" s="955"/>
      <c r="L63" s="954"/>
      <c r="M63" s="954"/>
    </row>
    <row r="64" spans="1:13">
      <c r="A64" s="955"/>
      <c r="B64" s="956"/>
      <c r="C64" s="955"/>
      <c r="D64" s="955"/>
      <c r="E64" s="955"/>
      <c r="F64" s="956" t="s">
        <v>31</v>
      </c>
      <c r="G64" s="955">
        <v>-1574982</v>
      </c>
      <c r="H64" s="955">
        <v>-2645833</v>
      </c>
      <c r="I64" s="956"/>
      <c r="J64" s="955"/>
      <c r="K64" s="955"/>
      <c r="L64" s="954"/>
      <c r="M64" s="954"/>
    </row>
    <row r="65" spans="1:13">
      <c r="A65" s="955"/>
      <c r="B65" s="956" t="s">
        <v>32</v>
      </c>
      <c r="C65" s="955"/>
      <c r="D65" s="955">
        <v>7276486</v>
      </c>
      <c r="E65" s="955"/>
      <c r="F65" s="956" t="s">
        <v>33</v>
      </c>
      <c r="G65" s="955">
        <v>1046944</v>
      </c>
      <c r="H65" s="955">
        <v>1052944</v>
      </c>
      <c r="I65" s="956" t="s">
        <v>34</v>
      </c>
      <c r="J65" s="955">
        <v>130808</v>
      </c>
      <c r="K65" s="955">
        <v>180808</v>
      </c>
      <c r="L65" s="954"/>
      <c r="M65" s="957">
        <f>D70/K68</f>
        <v>0.29497907684441638</v>
      </c>
    </row>
    <row r="66" spans="1:13">
      <c r="A66" s="955"/>
      <c r="B66" s="956" t="s">
        <v>35</v>
      </c>
      <c r="C66" s="955"/>
      <c r="D66" s="955">
        <v>6249440</v>
      </c>
      <c r="E66" s="955"/>
      <c r="F66" s="956" t="s">
        <v>36</v>
      </c>
      <c r="G66" s="955">
        <v>-110025</v>
      </c>
      <c r="H66" s="955">
        <v>-190025</v>
      </c>
      <c r="I66" s="956" t="s">
        <v>37</v>
      </c>
      <c r="J66" s="955">
        <v>6626602</v>
      </c>
      <c r="K66" s="955">
        <v>7626602</v>
      </c>
      <c r="L66" s="954"/>
      <c r="M66" s="954"/>
    </row>
    <row r="67" spans="1:13">
      <c r="A67" s="955"/>
      <c r="B67" s="956"/>
      <c r="C67" s="955"/>
      <c r="D67" s="955"/>
      <c r="E67" s="955"/>
      <c r="F67" s="956" t="s">
        <v>38</v>
      </c>
      <c r="G67" s="955">
        <v>603400</v>
      </c>
      <c r="H67" s="955">
        <v>751700</v>
      </c>
      <c r="I67" s="956" t="s">
        <v>39</v>
      </c>
      <c r="J67" s="955">
        <v>9381462</v>
      </c>
      <c r="K67" s="955">
        <v>6384044</v>
      </c>
      <c r="L67" s="954"/>
      <c r="M67" s="954"/>
    </row>
    <row r="68" spans="1:13">
      <c r="A68" s="955"/>
      <c r="B68" s="956" t="s">
        <v>40</v>
      </c>
      <c r="C68" s="955"/>
      <c r="D68" s="955">
        <v>2063258</v>
      </c>
      <c r="E68" s="955"/>
      <c r="F68" s="956" t="s">
        <v>41</v>
      </c>
      <c r="G68" s="955">
        <v>7152046</v>
      </c>
      <c r="H68" s="955">
        <v>6155495</v>
      </c>
      <c r="I68" s="956" t="s">
        <v>42</v>
      </c>
      <c r="J68" s="955">
        <v>16138872</v>
      </c>
      <c r="K68" s="955">
        <v>14191454</v>
      </c>
      <c r="L68" s="954"/>
      <c r="M68" s="954"/>
    </row>
    <row r="69" spans="1:13">
      <c r="A69" s="955"/>
      <c r="B69" s="956"/>
      <c r="C69" s="955"/>
      <c r="D69" s="955"/>
      <c r="E69" s="955"/>
      <c r="F69" s="956"/>
      <c r="G69" s="955"/>
      <c r="H69" s="955"/>
      <c r="I69" s="955"/>
      <c r="J69" s="955"/>
      <c r="K69" s="955"/>
      <c r="L69" s="954"/>
      <c r="M69" s="954"/>
    </row>
    <row r="70" spans="1:13">
      <c r="A70" s="955"/>
      <c r="B70" s="956" t="s">
        <v>43</v>
      </c>
      <c r="C70" s="955"/>
      <c r="D70" s="955">
        <v>4186182</v>
      </c>
      <c r="E70" s="955"/>
      <c r="F70" s="956" t="s">
        <v>1</v>
      </c>
      <c r="G70" s="955">
        <v>20408481</v>
      </c>
      <c r="H70" s="955">
        <v>18380031</v>
      </c>
      <c r="I70" s="955" t="s">
        <v>44</v>
      </c>
      <c r="J70" s="955">
        <v>20408481</v>
      </c>
      <c r="K70" s="955">
        <v>18380031</v>
      </c>
      <c r="L70" s="954"/>
      <c r="M70" s="954"/>
    </row>
    <row r="71" spans="1:13">
      <c r="A71" s="954"/>
      <c r="B71" s="954"/>
      <c r="C71" s="954"/>
      <c r="D71" s="954"/>
      <c r="E71" s="954"/>
      <c r="F71" s="954"/>
      <c r="G71" s="954"/>
      <c r="H71" s="954"/>
      <c r="I71" s="954"/>
      <c r="J71" s="954"/>
      <c r="K71" s="954"/>
      <c r="L71" s="954"/>
      <c r="M71" s="954"/>
    </row>
    <row r="72" spans="1:13" s="165" customFormat="1">
      <c r="A72" s="953" t="s">
        <v>1008</v>
      </c>
      <c r="B72" s="953"/>
      <c r="C72" s="953"/>
      <c r="D72" s="953"/>
      <c r="E72" s="953"/>
      <c r="F72" s="953"/>
      <c r="G72" s="953"/>
      <c r="H72" s="953"/>
      <c r="I72" s="953"/>
      <c r="J72" s="953"/>
      <c r="K72" s="953"/>
      <c r="L72" s="953"/>
      <c r="M72" s="953"/>
    </row>
    <row r="73" spans="1:13" s="165" customFormat="1">
      <c r="A73" s="165" t="s">
        <v>1007</v>
      </c>
    </row>
    <row r="75" spans="1:13" s="2" customFormat="1">
      <c r="A75" s="164">
        <v>6</v>
      </c>
    </row>
    <row r="77" spans="1:13" ht="23.25">
      <c r="A77" s="986"/>
      <c r="B77" s="986"/>
      <c r="C77" s="986"/>
      <c r="D77" s="10"/>
      <c r="E77" s="10"/>
      <c r="F77" s="10"/>
      <c r="G77" s="10"/>
      <c r="H77" s="10"/>
    </row>
    <row r="78" spans="1:13" ht="18">
      <c r="A78" s="166" t="s">
        <v>1006</v>
      </c>
      <c r="B78" s="952">
        <v>2021</v>
      </c>
      <c r="C78" s="952">
        <v>2022</v>
      </c>
      <c r="D78" s="10"/>
      <c r="E78" s="10"/>
      <c r="F78" s="10"/>
      <c r="G78" s="10"/>
      <c r="H78" s="10"/>
    </row>
    <row r="79" spans="1:13">
      <c r="A79" s="945"/>
      <c r="B79" s="926"/>
      <c r="C79" s="926"/>
      <c r="D79" s="10"/>
      <c r="E79" s="10"/>
      <c r="F79" s="10"/>
      <c r="G79" s="10"/>
      <c r="H79" s="10"/>
    </row>
    <row r="80" spans="1:13">
      <c r="A80" s="949" t="s">
        <v>8</v>
      </c>
      <c r="B80" s="946">
        <v>350000</v>
      </c>
      <c r="C80" s="946">
        <v>354660</v>
      </c>
      <c r="D80" s="10"/>
      <c r="E80" s="10"/>
      <c r="F80" s="10"/>
      <c r="G80" s="10"/>
      <c r="H80" s="10"/>
    </row>
    <row r="81" spans="1:8">
      <c r="A81" s="949" t="s">
        <v>146</v>
      </c>
      <c r="B81" s="946">
        <v>20000</v>
      </c>
      <c r="C81" s="946">
        <v>10000</v>
      </c>
      <c r="D81" s="10"/>
      <c r="E81" s="10"/>
      <c r="F81" s="10"/>
      <c r="G81" s="10"/>
      <c r="H81" s="10"/>
    </row>
    <row r="82" spans="1:8">
      <c r="A82" s="949" t="s">
        <v>147</v>
      </c>
      <c r="B82" s="946">
        <v>155000</v>
      </c>
      <c r="C82" s="946">
        <v>170000</v>
      </c>
      <c r="D82" s="10"/>
      <c r="E82" s="10"/>
      <c r="F82" s="10"/>
      <c r="G82" s="10"/>
      <c r="H82" s="10"/>
    </row>
    <row r="83" spans="1:8">
      <c r="A83" s="949" t="s">
        <v>148</v>
      </c>
      <c r="B83" s="946">
        <v>20000</v>
      </c>
      <c r="C83" s="946">
        <v>12000</v>
      </c>
      <c r="D83" s="10"/>
      <c r="E83" s="10"/>
      <c r="F83" s="10"/>
      <c r="G83" s="10"/>
      <c r="H83" s="10"/>
    </row>
    <row r="84" spans="1:8">
      <c r="A84" s="949" t="s">
        <v>149</v>
      </c>
      <c r="B84" s="946">
        <v>20000</v>
      </c>
      <c r="C84" s="946">
        <v>25000</v>
      </c>
      <c r="D84" s="10"/>
      <c r="E84" s="10"/>
      <c r="F84" s="10"/>
      <c r="G84" s="10"/>
      <c r="H84" s="10"/>
    </row>
    <row r="85" spans="1:8">
      <c r="A85" s="949"/>
      <c r="B85" s="946"/>
      <c r="C85" s="946"/>
      <c r="D85" s="10"/>
      <c r="E85" s="10"/>
      <c r="F85" s="10"/>
      <c r="G85" s="10"/>
      <c r="H85" s="10"/>
    </row>
    <row r="86" spans="1:8">
      <c r="A86" s="949" t="s">
        <v>28</v>
      </c>
      <c r="B86" s="946">
        <v>2000000</v>
      </c>
      <c r="C86" s="946">
        <v>1900000</v>
      </c>
      <c r="D86" s="10"/>
      <c r="E86" s="10"/>
      <c r="F86" s="10"/>
      <c r="G86" s="10"/>
      <c r="H86" s="10"/>
    </row>
    <row r="87" spans="1:8">
      <c r="A87" s="949" t="s">
        <v>30</v>
      </c>
      <c r="B87" s="946">
        <v>2150000</v>
      </c>
      <c r="C87" s="946">
        <v>2150000</v>
      </c>
      <c r="D87" s="10"/>
      <c r="E87" s="10"/>
      <c r="F87" s="10"/>
      <c r="G87" s="10"/>
      <c r="H87" s="10"/>
    </row>
    <row r="88" spans="1:8">
      <c r="A88" s="949" t="s">
        <v>150</v>
      </c>
      <c r="B88" s="946">
        <v>-1000000</v>
      </c>
      <c r="C88" s="946">
        <v>-1450000</v>
      </c>
      <c r="D88" s="10"/>
      <c r="E88" s="10"/>
      <c r="F88" s="10"/>
      <c r="G88" s="10"/>
      <c r="H88" s="10"/>
    </row>
    <row r="89" spans="1:8">
      <c r="A89" s="949" t="s">
        <v>151</v>
      </c>
      <c r="B89" s="946">
        <v>600000</v>
      </c>
      <c r="C89" s="946">
        <v>410000</v>
      </c>
      <c r="D89" s="10"/>
      <c r="E89" s="10"/>
      <c r="F89" s="10"/>
      <c r="G89" s="10"/>
      <c r="H89" s="10"/>
    </row>
    <row r="90" spans="1:8">
      <c r="A90" s="949" t="s">
        <v>152</v>
      </c>
      <c r="B90" s="946">
        <v>-200000</v>
      </c>
      <c r="C90" s="946">
        <v>-210000</v>
      </c>
      <c r="D90" s="10"/>
      <c r="E90" s="10"/>
      <c r="F90" s="10"/>
      <c r="G90" s="10"/>
      <c r="H90" s="10"/>
    </row>
    <row r="91" spans="1:8">
      <c r="A91" s="949"/>
      <c r="B91" s="946"/>
      <c r="C91" s="946"/>
      <c r="D91" s="10"/>
      <c r="E91" s="10"/>
      <c r="F91" s="10"/>
      <c r="G91" s="10"/>
      <c r="H91" s="10"/>
    </row>
    <row r="92" spans="1:8" ht="18.399999999999999" thickBot="1">
      <c r="A92" s="951" t="s">
        <v>52</v>
      </c>
      <c r="B92" s="950">
        <f>SUM(B80:B90)</f>
        <v>4115000</v>
      </c>
      <c r="C92" s="950">
        <f>SUM(C80:C90)</f>
        <v>3371660</v>
      </c>
      <c r="D92" s="10"/>
      <c r="E92" s="10"/>
      <c r="F92" s="10"/>
      <c r="G92" s="10"/>
      <c r="H92" s="10"/>
    </row>
    <row r="93" spans="1:8" ht="14.65" thickTop="1">
      <c r="A93" s="949"/>
      <c r="B93" s="946"/>
      <c r="C93" s="946"/>
      <c r="D93" s="10"/>
      <c r="E93" s="10"/>
      <c r="F93" s="10"/>
      <c r="G93" s="10"/>
      <c r="H93" s="10"/>
    </row>
    <row r="94" spans="1:8">
      <c r="A94" s="949" t="s">
        <v>9</v>
      </c>
      <c r="B94" s="946">
        <v>90000</v>
      </c>
      <c r="C94" s="946">
        <v>120000</v>
      </c>
      <c r="D94" s="10"/>
      <c r="E94" s="10"/>
      <c r="F94" s="10"/>
      <c r="G94" s="10"/>
      <c r="H94" s="10"/>
    </row>
    <row r="95" spans="1:8">
      <c r="A95" s="949" t="s">
        <v>153</v>
      </c>
      <c r="B95" s="946">
        <v>13000</v>
      </c>
      <c r="C95" s="946">
        <v>12000</v>
      </c>
      <c r="D95" s="10"/>
      <c r="E95" s="10"/>
      <c r="F95" s="10"/>
      <c r="G95" s="10"/>
      <c r="H95" s="10"/>
    </row>
    <row r="96" spans="1:8">
      <c r="A96" s="949" t="s">
        <v>154</v>
      </c>
      <c r="B96" s="946">
        <v>30000</v>
      </c>
      <c r="C96" s="946">
        <v>40000</v>
      </c>
      <c r="D96" s="10"/>
      <c r="E96" s="10"/>
      <c r="F96" s="10"/>
      <c r="G96" s="10"/>
      <c r="H96" s="10"/>
    </row>
    <row r="97" spans="1:8">
      <c r="A97" s="949" t="s">
        <v>155</v>
      </c>
      <c r="B97" s="946">
        <v>120000</v>
      </c>
      <c r="C97" s="946">
        <v>40000</v>
      </c>
      <c r="D97" s="10"/>
      <c r="E97" s="10"/>
      <c r="F97" s="10"/>
      <c r="G97" s="10"/>
      <c r="H97" s="10"/>
    </row>
    <row r="98" spans="1:8">
      <c r="A98" s="949"/>
      <c r="B98" s="946"/>
      <c r="C98" s="946"/>
      <c r="D98" s="10"/>
      <c r="E98" s="10"/>
      <c r="F98" s="10"/>
      <c r="G98" s="10"/>
      <c r="H98" s="10"/>
    </row>
    <row r="99" spans="1:8">
      <c r="A99" s="949"/>
      <c r="B99" s="946"/>
      <c r="C99" s="946"/>
      <c r="D99" s="10"/>
      <c r="E99" s="10"/>
      <c r="F99" s="10"/>
      <c r="G99" s="10"/>
      <c r="H99" s="10"/>
    </row>
    <row r="100" spans="1:8">
      <c r="A100" s="949" t="s">
        <v>156</v>
      </c>
      <c r="B100" s="946">
        <v>540000</v>
      </c>
      <c r="C100" s="946">
        <v>400000</v>
      </c>
      <c r="D100" s="10"/>
      <c r="E100" s="10"/>
      <c r="F100" s="10"/>
      <c r="G100" s="10"/>
      <c r="H100" s="10"/>
    </row>
    <row r="101" spans="1:8">
      <c r="A101" s="947" t="s">
        <v>34</v>
      </c>
      <c r="B101" s="946">
        <v>1500000</v>
      </c>
      <c r="C101" s="946">
        <v>1500000</v>
      </c>
      <c r="D101" s="948"/>
      <c r="E101" s="10"/>
      <c r="F101" s="10"/>
      <c r="G101" s="10"/>
      <c r="H101" s="10"/>
    </row>
    <row r="102" spans="1:8">
      <c r="A102" s="947" t="s">
        <v>638</v>
      </c>
      <c r="B102" s="946">
        <v>250000</v>
      </c>
      <c r="C102" s="946">
        <v>250000</v>
      </c>
      <c r="D102" s="10"/>
      <c r="E102" s="10"/>
      <c r="F102" s="10"/>
      <c r="G102" s="10"/>
      <c r="H102" s="10"/>
    </row>
    <row r="103" spans="1:8">
      <c r="A103" s="947" t="s">
        <v>158</v>
      </c>
      <c r="B103" s="946">
        <v>1572000</v>
      </c>
      <c r="C103" s="946">
        <v>1009600</v>
      </c>
      <c r="D103" s="10"/>
      <c r="E103" s="10"/>
      <c r="F103" s="10"/>
      <c r="G103" s="10"/>
      <c r="H103" s="10"/>
    </row>
    <row r="104" spans="1:8">
      <c r="A104" s="945"/>
      <c r="B104" s="924"/>
      <c r="C104" s="924"/>
      <c r="D104" s="10"/>
      <c r="E104" s="10"/>
      <c r="F104" s="10"/>
      <c r="G104" s="10"/>
      <c r="H104" s="10"/>
    </row>
    <row r="105" spans="1:8" ht="18">
      <c r="A105" s="944" t="s">
        <v>159</v>
      </c>
      <c r="B105" s="943">
        <f>SUM(B94:B103)</f>
        <v>4115000</v>
      </c>
      <c r="C105" s="943">
        <f>SUM(C94:C103)</f>
        <v>3371600</v>
      </c>
      <c r="D105" s="10"/>
      <c r="E105" s="10"/>
      <c r="F105" s="10"/>
      <c r="G105" s="10"/>
      <c r="H105" s="10"/>
    </row>
    <row r="106" spans="1:8">
      <c r="A106" s="10"/>
      <c r="B106" s="10"/>
      <c r="C106" s="10"/>
      <c r="D106" s="10"/>
      <c r="E106" s="10"/>
      <c r="F106" s="10"/>
      <c r="G106" s="10"/>
      <c r="H106" s="10"/>
    </row>
    <row r="107" spans="1:8">
      <c r="A107" s="10"/>
      <c r="B107" s="10"/>
      <c r="C107" s="10"/>
      <c r="D107" s="10"/>
      <c r="E107" s="10"/>
      <c r="F107" s="10"/>
      <c r="G107" s="10"/>
      <c r="H107" s="10"/>
    </row>
    <row r="108" spans="1:8" ht="31.9" thickBot="1">
      <c r="A108" s="942" t="s">
        <v>1005</v>
      </c>
      <c r="B108" s="941" t="s">
        <v>3</v>
      </c>
      <c r="C108" s="940" t="s">
        <v>70</v>
      </c>
      <c r="D108" s="941" t="s">
        <v>71</v>
      </c>
      <c r="E108" s="940" t="s">
        <v>72</v>
      </c>
      <c r="F108" s="939" t="s">
        <v>54</v>
      </c>
      <c r="G108" s="10"/>
      <c r="H108" s="10"/>
    </row>
    <row r="109" spans="1:8">
      <c r="A109" s="926"/>
      <c r="B109" s="938"/>
      <c r="C109" s="926"/>
      <c r="D109" s="938"/>
      <c r="E109" s="926"/>
      <c r="F109" s="937"/>
      <c r="G109" s="10"/>
      <c r="H109" s="10"/>
    </row>
    <row r="110" spans="1:8">
      <c r="A110" s="926" t="s">
        <v>73</v>
      </c>
      <c r="B110" s="925">
        <v>750000</v>
      </c>
      <c r="C110" s="924">
        <v>0</v>
      </c>
      <c r="D110" s="925">
        <v>20000</v>
      </c>
      <c r="E110" s="924">
        <v>14000</v>
      </c>
      <c r="F110" s="933">
        <f>B110-SUM(C110:E110)</f>
        <v>716000</v>
      </c>
      <c r="G110" s="10"/>
      <c r="H110" s="10"/>
    </row>
    <row r="111" spans="1:8">
      <c r="A111" s="926" t="s">
        <v>74</v>
      </c>
      <c r="B111" s="925">
        <v>300000</v>
      </c>
      <c r="C111" s="924">
        <v>90000</v>
      </c>
      <c r="D111" s="925">
        <v>25000</v>
      </c>
      <c r="E111" s="924">
        <v>20000</v>
      </c>
      <c r="F111" s="933">
        <f>B111-SUM(C111:E111)</f>
        <v>165000</v>
      </c>
      <c r="G111" s="10"/>
      <c r="H111" s="10"/>
    </row>
    <row r="112" spans="1:8">
      <c r="A112" s="926" t="s">
        <v>75</v>
      </c>
      <c r="B112" s="925">
        <v>150000</v>
      </c>
      <c r="C112" s="924">
        <v>65000</v>
      </c>
      <c r="D112" s="925">
        <v>12000</v>
      </c>
      <c r="E112" s="924">
        <v>15000</v>
      </c>
      <c r="F112" s="933">
        <f>B112-SUM(C112:E112)</f>
        <v>58000</v>
      </c>
      <c r="G112" s="10"/>
      <c r="H112" s="10"/>
    </row>
    <row r="113" spans="1:8">
      <c r="A113" s="926" t="s">
        <v>76</v>
      </c>
      <c r="B113" s="925">
        <v>50000</v>
      </c>
      <c r="C113" s="924">
        <v>27500.000000000004</v>
      </c>
      <c r="D113" s="925">
        <v>5000</v>
      </c>
      <c r="E113" s="924">
        <v>6000</v>
      </c>
      <c r="F113" s="933">
        <f>B113-SUM(C113:E113)</f>
        <v>11500</v>
      </c>
      <c r="G113" s="10"/>
      <c r="H113" s="10"/>
    </row>
    <row r="114" spans="1:8">
      <c r="A114" s="926"/>
      <c r="B114" s="925"/>
      <c r="C114" s="924"/>
      <c r="D114" s="925"/>
      <c r="E114" s="924"/>
      <c r="F114" s="933"/>
      <c r="G114" s="10"/>
      <c r="H114" s="10"/>
    </row>
    <row r="115" spans="1:8" ht="14.65" thickBot="1">
      <c r="A115" s="936" t="s">
        <v>77</v>
      </c>
      <c r="B115" s="935">
        <f>SUM(B110:B113)</f>
        <v>1250000</v>
      </c>
      <c r="C115" s="935">
        <f>SUM(C110:C113)</f>
        <v>182500</v>
      </c>
      <c r="D115" s="935">
        <f>SUM(D110:D113)</f>
        <v>62000</v>
      </c>
      <c r="E115" s="935">
        <f>SUM(E110:E113)</f>
        <v>55000</v>
      </c>
      <c r="F115" s="935">
        <f>SUM(F110:F113)</f>
        <v>950500</v>
      </c>
      <c r="G115" s="10"/>
      <c r="H115" s="10"/>
    </row>
    <row r="116" spans="1:8">
      <c r="A116" s="926"/>
      <c r="B116" s="925"/>
      <c r="C116" s="924"/>
      <c r="D116" s="925"/>
      <c r="E116" s="924"/>
      <c r="F116" s="933"/>
      <c r="G116" s="10"/>
      <c r="H116" s="10"/>
    </row>
    <row r="117" spans="1:8">
      <c r="A117" s="926" t="s">
        <v>78</v>
      </c>
      <c r="B117" s="925"/>
      <c r="C117" s="924"/>
      <c r="D117" s="925"/>
      <c r="E117" s="924"/>
      <c r="F117" s="933"/>
      <c r="G117" s="10"/>
      <c r="H117" s="10"/>
    </row>
    <row r="118" spans="1:8">
      <c r="A118" s="926" t="s">
        <v>79</v>
      </c>
      <c r="B118" s="925"/>
      <c r="C118" s="924"/>
      <c r="D118" s="925">
        <v>30000</v>
      </c>
      <c r="E118" s="924">
        <v>6000</v>
      </c>
      <c r="F118" s="933">
        <f>SUM(C118:E118)</f>
        <v>36000</v>
      </c>
      <c r="G118" s="10"/>
      <c r="H118" s="10"/>
    </row>
    <row r="119" spans="1:8">
      <c r="A119" s="926" t="s">
        <v>80</v>
      </c>
      <c r="B119" s="925"/>
      <c r="C119" s="924"/>
      <c r="D119" s="925">
        <v>24000</v>
      </c>
      <c r="E119" s="924">
        <v>2500</v>
      </c>
      <c r="F119" s="933">
        <f>SUM(C119:E119)</f>
        <v>26500</v>
      </c>
      <c r="G119" s="10"/>
      <c r="H119" s="10"/>
    </row>
    <row r="120" spans="1:8">
      <c r="A120" s="926" t="s">
        <v>81</v>
      </c>
      <c r="B120" s="925"/>
      <c r="C120" s="924"/>
      <c r="D120" s="925">
        <v>12000</v>
      </c>
      <c r="E120" s="924">
        <v>2600</v>
      </c>
      <c r="F120" s="933">
        <f>SUM(C120:E120)</f>
        <v>14600</v>
      </c>
      <c r="G120" s="10"/>
      <c r="H120" s="10"/>
    </row>
    <row r="121" spans="1:8">
      <c r="A121" s="926" t="s">
        <v>82</v>
      </c>
      <c r="B121" s="925"/>
      <c r="C121" s="924"/>
      <c r="D121" s="925"/>
      <c r="E121" s="924">
        <v>3900</v>
      </c>
      <c r="F121" s="933">
        <f>SUM(C121:E121)</f>
        <v>3900</v>
      </c>
      <c r="G121" s="10"/>
      <c r="H121" s="10"/>
    </row>
    <row r="122" spans="1:8" ht="14.65" thickBot="1">
      <c r="A122" s="932" t="s">
        <v>84</v>
      </c>
      <c r="B122" s="931"/>
      <c r="C122" s="930"/>
      <c r="D122" s="931"/>
      <c r="E122" s="930"/>
      <c r="F122" s="934">
        <f>F115-SUM(F118:F121)</f>
        <v>869500</v>
      </c>
      <c r="G122" s="10"/>
      <c r="H122" s="10"/>
    </row>
    <row r="123" spans="1:8">
      <c r="A123" s="926"/>
      <c r="B123" s="925"/>
      <c r="C123" s="925"/>
      <c r="D123" s="925"/>
      <c r="E123" s="925"/>
      <c r="F123" s="933"/>
      <c r="G123" s="10"/>
      <c r="H123" s="10"/>
    </row>
    <row r="124" spans="1:8">
      <c r="A124" s="926" t="s">
        <v>85</v>
      </c>
      <c r="B124" s="925"/>
      <c r="C124" s="925"/>
      <c r="D124" s="925"/>
      <c r="E124" s="925"/>
      <c r="F124" s="933"/>
      <c r="G124" s="10"/>
      <c r="H124" s="10"/>
    </row>
    <row r="125" spans="1:8">
      <c r="A125" s="926" t="s">
        <v>86</v>
      </c>
      <c r="B125" s="925"/>
      <c r="C125" s="925"/>
      <c r="D125" s="925"/>
      <c r="E125" s="925"/>
      <c r="F125" s="924">
        <v>50000</v>
      </c>
      <c r="G125" s="10"/>
      <c r="H125" s="10"/>
    </row>
    <row r="126" spans="1:8">
      <c r="A126" s="926" t="s">
        <v>87</v>
      </c>
      <c r="B126" s="925"/>
      <c r="C126" s="925"/>
      <c r="D126" s="925"/>
      <c r="E126" s="925"/>
      <c r="F126" s="924">
        <v>50000</v>
      </c>
      <c r="G126" s="10"/>
      <c r="H126" s="10"/>
    </row>
    <row r="127" spans="1:8">
      <c r="A127" s="926" t="s">
        <v>239</v>
      </c>
      <c r="B127" s="925"/>
      <c r="C127" s="925"/>
      <c r="D127" s="925"/>
      <c r="E127" s="925"/>
      <c r="F127" s="924">
        <v>450000</v>
      </c>
      <c r="G127" s="10"/>
      <c r="H127" s="10"/>
    </row>
    <row r="128" spans="1:8">
      <c r="A128" s="926" t="s">
        <v>62</v>
      </c>
      <c r="B128" s="925"/>
      <c r="C128" s="925"/>
      <c r="D128" s="925"/>
      <c r="E128" s="925"/>
      <c r="F128" s="924">
        <v>200000</v>
      </c>
      <c r="G128" s="10"/>
      <c r="H128" s="10"/>
    </row>
    <row r="129" spans="1:8">
      <c r="A129" s="926" t="s">
        <v>1004</v>
      </c>
      <c r="B129" s="925"/>
      <c r="C129" s="925"/>
      <c r="D129" s="925"/>
      <c r="E129" s="925"/>
      <c r="F129" s="924">
        <v>75000</v>
      </c>
      <c r="G129" s="10"/>
      <c r="H129" s="10"/>
    </row>
    <row r="130" spans="1:8">
      <c r="A130" s="926"/>
      <c r="B130" s="925"/>
      <c r="C130" s="925"/>
      <c r="D130" s="925"/>
      <c r="E130" s="925"/>
      <c r="F130" s="924"/>
      <c r="G130" s="10"/>
      <c r="H130" s="10"/>
    </row>
    <row r="131" spans="1:8" ht="14.65" thickBot="1">
      <c r="A131" s="932" t="s">
        <v>89</v>
      </c>
      <c r="B131" s="931"/>
      <c r="C131" s="931"/>
      <c r="D131" s="931"/>
      <c r="E131" s="931"/>
      <c r="F131" s="930">
        <f>F122-SUM(F125:F128)+F129</f>
        <v>194500</v>
      </c>
      <c r="G131" s="10"/>
      <c r="H131" s="10"/>
    </row>
    <row r="132" spans="1:8">
      <c r="A132" s="926" t="s">
        <v>90</v>
      </c>
      <c r="B132" s="925"/>
      <c r="C132" s="925"/>
      <c r="D132" s="925"/>
      <c r="E132" s="925"/>
      <c r="F132" s="924">
        <v>10000</v>
      </c>
      <c r="G132" s="10"/>
      <c r="H132" s="10"/>
    </row>
    <row r="133" spans="1:8">
      <c r="A133" s="929" t="s">
        <v>65</v>
      </c>
      <c r="B133" s="928"/>
      <c r="C133" s="928"/>
      <c r="D133" s="928"/>
      <c r="E133" s="928"/>
      <c r="F133" s="927">
        <f>F131-F132</f>
        <v>184500</v>
      </c>
      <c r="G133" s="10"/>
      <c r="H133" s="10"/>
    </row>
    <row r="134" spans="1:8">
      <c r="A134" s="926" t="s">
        <v>91</v>
      </c>
      <c r="B134" s="925"/>
      <c r="C134" s="925"/>
      <c r="D134" s="925"/>
      <c r="E134" s="925"/>
      <c r="F134" s="924">
        <f>F133*0.2</f>
        <v>36900</v>
      </c>
      <c r="G134" s="10"/>
      <c r="H134" s="10"/>
    </row>
    <row r="135" spans="1:8" ht="15.75">
      <c r="A135" s="923" t="s">
        <v>92</v>
      </c>
      <c r="B135" s="922"/>
      <c r="C135" s="922"/>
      <c r="D135" s="922"/>
      <c r="E135" s="922"/>
      <c r="F135" s="921">
        <f>F133-F134</f>
        <v>147600</v>
      </c>
      <c r="G135" s="10"/>
      <c r="H135" s="10"/>
    </row>
    <row r="137" spans="1:8">
      <c r="A137" s="987" t="s">
        <v>1003</v>
      </c>
      <c r="B137" s="988"/>
      <c r="C137" s="988"/>
      <c r="D137" s="988"/>
      <c r="E137" s="988"/>
      <c r="F137" s="988"/>
      <c r="G137" s="988"/>
      <c r="H137" s="989"/>
    </row>
    <row r="138" spans="1:8">
      <c r="A138" s="990"/>
      <c r="B138" s="981"/>
      <c r="C138" s="981"/>
      <c r="D138" s="981"/>
      <c r="E138" s="981"/>
      <c r="F138" s="981"/>
      <c r="G138" s="981"/>
      <c r="H138" s="991"/>
    </row>
    <row r="139" spans="1:8">
      <c r="A139" s="990"/>
      <c r="B139" s="981"/>
      <c r="C139" s="981"/>
      <c r="D139" s="981"/>
      <c r="E139" s="981"/>
      <c r="F139" s="981"/>
      <c r="G139" s="981"/>
      <c r="H139" s="991"/>
    </row>
    <row r="140" spans="1:8">
      <c r="A140" s="990" t="s">
        <v>1002</v>
      </c>
      <c r="B140" s="981"/>
      <c r="C140" s="981"/>
      <c r="D140" s="981"/>
      <c r="E140" s="981"/>
      <c r="F140" s="981"/>
      <c r="G140" s="981"/>
      <c r="H140" s="991"/>
    </row>
    <row r="141" spans="1:8">
      <c r="A141" s="990" t="s">
        <v>1001</v>
      </c>
      <c r="B141" s="981"/>
      <c r="C141" s="981"/>
      <c r="D141" s="981"/>
      <c r="E141" s="981"/>
      <c r="F141" s="981"/>
      <c r="G141" s="981"/>
      <c r="H141" s="991"/>
    </row>
    <row r="142" spans="1:8">
      <c r="A142" s="983" t="s">
        <v>1000</v>
      </c>
      <c r="B142" s="984"/>
      <c r="C142" s="984"/>
      <c r="D142" s="984"/>
      <c r="E142" s="984"/>
      <c r="F142" s="984"/>
      <c r="G142" s="984"/>
      <c r="H142" s="985"/>
    </row>
    <row r="144" spans="1:8" s="2" customFormat="1">
      <c r="A144" s="347">
        <v>7</v>
      </c>
    </row>
    <row r="146" spans="1:12" ht="21.4" thickBot="1">
      <c r="A146" s="976" t="str">
        <f>"Question 2 - Points "&amp;SUM(L147:L149)</f>
        <v>Question 2 - Points 4</v>
      </c>
      <c r="B146" s="977"/>
      <c r="C146" s="977"/>
      <c r="D146" s="977"/>
      <c r="E146" s="977"/>
      <c r="F146" s="977"/>
      <c r="G146" s="977"/>
      <c r="H146" s="977"/>
      <c r="I146" s="977"/>
      <c r="J146" s="977"/>
      <c r="K146" s="977"/>
      <c r="L146" s="549" t="s">
        <v>635</v>
      </c>
    </row>
    <row r="147" spans="1:12" ht="21.4" customHeight="1" thickBot="1">
      <c r="A147" s="982" t="s">
        <v>999</v>
      </c>
      <c r="B147" s="982"/>
      <c r="C147" s="982"/>
      <c r="D147" s="982"/>
      <c r="E147" s="982"/>
      <c r="F147" s="982"/>
      <c r="G147" s="982"/>
      <c r="H147" s="982"/>
      <c r="I147" s="982"/>
      <c r="J147" s="982"/>
      <c r="K147" s="982"/>
      <c r="L147" s="550">
        <v>4</v>
      </c>
    </row>
    <row r="148" spans="1:12" ht="21">
      <c r="A148" s="981"/>
      <c r="B148" s="981"/>
      <c r="C148" s="981"/>
      <c r="D148" s="981"/>
      <c r="E148" s="981"/>
      <c r="F148" s="981"/>
      <c r="G148" s="981"/>
      <c r="H148" s="981"/>
      <c r="I148" s="981"/>
      <c r="J148" s="981"/>
      <c r="K148" s="981"/>
      <c r="L148" s="757"/>
    </row>
    <row r="149" spans="1:12" ht="21">
      <c r="A149" s="981"/>
      <c r="B149" s="981"/>
      <c r="C149" s="981"/>
      <c r="D149" s="981"/>
      <c r="E149" s="981"/>
      <c r="F149" s="981"/>
      <c r="G149" s="981"/>
      <c r="H149" s="981"/>
      <c r="I149" s="981"/>
      <c r="J149" s="981"/>
      <c r="K149" s="981"/>
      <c r="L149" s="757"/>
    </row>
    <row r="151" spans="1:12" s="2" customFormat="1">
      <c r="A151" s="347">
        <v>8</v>
      </c>
    </row>
    <row r="153" spans="1:12" ht="21.4" thickBot="1">
      <c r="A153" s="976" t="str">
        <f>"Question 2 - Points "&amp;SUM(L154:L186)</f>
        <v>Question 2 - Points 24</v>
      </c>
      <c r="B153" s="977"/>
      <c r="C153" s="977"/>
      <c r="D153" s="977"/>
      <c r="E153" s="977"/>
      <c r="F153" s="977"/>
      <c r="G153" s="977"/>
      <c r="H153" s="977"/>
      <c r="I153" s="977"/>
      <c r="J153" s="977"/>
      <c r="K153" s="977"/>
      <c r="L153" s="549" t="s">
        <v>635</v>
      </c>
    </row>
    <row r="154" spans="1:12" ht="21.4" customHeight="1" thickBot="1">
      <c r="A154" s="982" t="s">
        <v>998</v>
      </c>
      <c r="B154" s="982"/>
      <c r="C154" s="982"/>
      <c r="D154" s="982"/>
      <c r="E154" s="982"/>
      <c r="F154" s="982"/>
      <c r="G154" s="982"/>
      <c r="H154" s="982"/>
      <c r="I154" s="982"/>
      <c r="J154" s="982"/>
      <c r="K154" s="982"/>
      <c r="L154" s="550">
        <v>12</v>
      </c>
    </row>
    <row r="155" spans="1:12" ht="21">
      <c r="A155" s="981"/>
      <c r="B155" s="981"/>
      <c r="C155" s="981"/>
      <c r="D155" s="981"/>
      <c r="E155" s="981"/>
      <c r="F155" s="981"/>
      <c r="G155" s="981"/>
      <c r="H155" s="981"/>
      <c r="I155" s="981"/>
      <c r="J155" s="981"/>
      <c r="K155" s="981"/>
      <c r="L155" s="757"/>
    </row>
    <row r="156" spans="1:12" ht="21">
      <c r="A156" s="981"/>
      <c r="B156" s="981"/>
      <c r="C156" s="981"/>
      <c r="D156" s="981"/>
      <c r="E156" s="981"/>
      <c r="F156" s="981"/>
      <c r="G156" s="981"/>
      <c r="H156" s="981"/>
      <c r="I156" s="981"/>
      <c r="J156" s="981"/>
      <c r="K156" s="981"/>
      <c r="L156" s="757"/>
    </row>
    <row r="157" spans="1:12" ht="21">
      <c r="A157" s="981"/>
      <c r="B157" s="981"/>
      <c r="C157" s="981"/>
      <c r="D157" s="981"/>
      <c r="E157" s="981"/>
      <c r="F157" s="981"/>
      <c r="G157" s="981"/>
      <c r="H157" s="981"/>
      <c r="I157" s="981"/>
      <c r="J157" s="981"/>
      <c r="K157" s="981"/>
      <c r="L157" s="757"/>
    </row>
    <row r="158" spans="1:12" ht="21">
      <c r="A158" s="981"/>
      <c r="B158" s="981"/>
      <c r="C158" s="981"/>
      <c r="D158" s="981"/>
      <c r="E158" s="981"/>
      <c r="F158" s="981"/>
      <c r="G158" s="981"/>
      <c r="H158" s="981"/>
      <c r="I158" s="981"/>
      <c r="J158" s="981"/>
      <c r="K158" s="981"/>
      <c r="L158" s="757"/>
    </row>
    <row r="159" spans="1:12" ht="21">
      <c r="A159" s="981"/>
      <c r="B159" s="981"/>
      <c r="C159" s="981"/>
      <c r="D159" s="981"/>
      <c r="E159" s="981"/>
      <c r="F159" s="981"/>
      <c r="G159" s="981"/>
      <c r="H159" s="981"/>
      <c r="I159" s="981"/>
      <c r="J159" s="981"/>
      <c r="K159" s="981"/>
      <c r="L159" s="757"/>
    </row>
    <row r="160" spans="1:12" ht="21">
      <c r="A160" s="981"/>
      <c r="B160" s="981"/>
      <c r="C160" s="981"/>
      <c r="D160" s="981"/>
      <c r="E160" s="981"/>
      <c r="F160" s="981"/>
      <c r="G160" s="981"/>
      <c r="H160" s="981"/>
      <c r="I160" s="981"/>
      <c r="J160" s="981"/>
      <c r="K160" s="981"/>
      <c r="L160" s="757"/>
    </row>
    <row r="161" spans="1:12" ht="21">
      <c r="A161" s="981"/>
      <c r="B161" s="981"/>
      <c r="C161" s="981"/>
      <c r="D161" s="981"/>
      <c r="E161" s="981"/>
      <c r="F161" s="981"/>
      <c r="G161" s="981"/>
      <c r="H161" s="981"/>
      <c r="I161" s="981"/>
      <c r="J161" s="981"/>
      <c r="K161" s="981"/>
      <c r="L161" s="757"/>
    </row>
    <row r="162" spans="1:12" ht="21">
      <c r="A162" s="981"/>
      <c r="B162" s="981"/>
      <c r="C162" s="981"/>
      <c r="D162" s="981"/>
      <c r="E162" s="981"/>
      <c r="F162" s="981"/>
      <c r="G162" s="981"/>
      <c r="H162" s="981"/>
      <c r="I162" s="981"/>
      <c r="J162" s="981"/>
      <c r="K162" s="981"/>
      <c r="L162" s="757"/>
    </row>
    <row r="163" spans="1:12" ht="21">
      <c r="A163" s="981"/>
      <c r="B163" s="981"/>
      <c r="C163" s="981"/>
      <c r="D163" s="981"/>
      <c r="E163" s="981"/>
      <c r="F163" s="981"/>
      <c r="G163" s="981"/>
      <c r="H163" s="981"/>
      <c r="I163" s="981"/>
      <c r="J163" s="981"/>
      <c r="K163" s="981"/>
      <c r="L163" s="757"/>
    </row>
    <row r="164" spans="1:12" ht="21">
      <c r="A164" s="981"/>
      <c r="B164" s="981"/>
      <c r="C164" s="981"/>
      <c r="D164" s="981"/>
      <c r="E164" s="981"/>
      <c r="F164" s="981"/>
      <c r="G164" s="981"/>
      <c r="H164" s="981"/>
      <c r="I164" s="981"/>
      <c r="J164" s="981"/>
      <c r="K164" s="981"/>
      <c r="L164" s="757"/>
    </row>
    <row r="166" spans="1:12" s="2" customFormat="1">
      <c r="A166" s="347">
        <v>9</v>
      </c>
    </row>
    <row r="168" spans="1:12" ht="21.4" thickBot="1">
      <c r="A168" s="976" t="str">
        <f>"Question 2 - Points 12"</f>
        <v>Question 2 - Points 12</v>
      </c>
      <c r="B168" s="977"/>
      <c r="C168" s="977"/>
      <c r="D168" s="977"/>
      <c r="E168" s="977"/>
      <c r="F168" s="977"/>
      <c r="G168" s="977"/>
      <c r="H168" s="977"/>
      <c r="I168" s="977"/>
      <c r="J168" s="977"/>
      <c r="K168" s="977"/>
      <c r="L168" s="549" t="s">
        <v>635</v>
      </c>
    </row>
    <row r="169" spans="1:12" ht="21.4" customHeight="1" thickBot="1">
      <c r="A169" s="982" t="s">
        <v>997</v>
      </c>
      <c r="B169" s="982"/>
      <c r="C169" s="982"/>
      <c r="D169" s="982"/>
      <c r="E169" s="982"/>
      <c r="F169" s="982"/>
      <c r="G169" s="982"/>
      <c r="H169" s="982"/>
      <c r="I169" s="982"/>
      <c r="J169" s="982"/>
      <c r="K169" s="982"/>
      <c r="L169" s="550">
        <v>4</v>
      </c>
    </row>
    <row r="170" spans="1:12" ht="21">
      <c r="A170" s="981"/>
      <c r="B170" s="981"/>
      <c r="C170" s="981"/>
      <c r="D170" s="981"/>
      <c r="E170" s="981"/>
      <c r="F170" s="981"/>
      <c r="G170" s="981"/>
      <c r="H170" s="981"/>
      <c r="I170" s="981"/>
      <c r="J170" s="981"/>
      <c r="K170" s="981"/>
      <c r="L170" s="757"/>
    </row>
    <row r="171" spans="1:12" ht="21.4" thickBot="1">
      <c r="A171" s="981"/>
      <c r="B171" s="981"/>
      <c r="C171" s="981"/>
      <c r="D171" s="981"/>
      <c r="E171" s="981"/>
      <c r="F171" s="981"/>
      <c r="G171" s="981"/>
      <c r="H171" s="981"/>
      <c r="I171" s="981"/>
      <c r="J171" s="981"/>
      <c r="K171" s="981"/>
      <c r="L171" s="757"/>
    </row>
    <row r="172" spans="1:12" ht="21.4" thickBot="1">
      <c r="A172" s="782" t="s">
        <v>996</v>
      </c>
      <c r="B172" s="780"/>
      <c r="C172" s="780"/>
      <c r="D172" s="780"/>
      <c r="E172" s="780"/>
      <c r="F172" s="780"/>
      <c r="G172" s="780"/>
      <c r="H172" s="780"/>
      <c r="I172" s="780"/>
      <c r="J172" s="780"/>
      <c r="K172" s="780"/>
      <c r="L172" s="550">
        <v>3</v>
      </c>
    </row>
    <row r="173" spans="1:12" ht="21.4" thickBot="1">
      <c r="A173" s="981" t="s">
        <v>995</v>
      </c>
      <c r="B173" s="981"/>
      <c r="C173" s="981"/>
      <c r="D173" s="981"/>
      <c r="E173" s="981"/>
      <c r="F173" s="981"/>
      <c r="G173" s="981"/>
      <c r="H173" s="981"/>
      <c r="I173" s="981"/>
      <c r="J173" s="981"/>
      <c r="K173" s="981"/>
      <c r="L173" s="550">
        <v>5</v>
      </c>
    </row>
    <row r="174" spans="1:12" ht="21">
      <c r="A174" s="981"/>
      <c r="B174" s="981"/>
      <c r="C174" s="981"/>
      <c r="D174" s="981"/>
      <c r="E174" s="981"/>
      <c r="F174" s="981"/>
      <c r="G174" s="981"/>
      <c r="H174" s="981"/>
      <c r="I174" s="981"/>
      <c r="J174" s="981"/>
      <c r="K174" s="981"/>
      <c r="L174" s="757"/>
    </row>
    <row r="178" spans="1:2">
      <c r="A178" t="s">
        <v>523</v>
      </c>
    </row>
    <row r="180" spans="1:2" ht="18.75">
      <c r="A180" s="920" t="s">
        <v>994</v>
      </c>
      <c r="B180" t="s">
        <v>993</v>
      </c>
    </row>
    <row r="181" spans="1:2" ht="18.75">
      <c r="A181" s="920" t="s">
        <v>992</v>
      </c>
    </row>
    <row r="182" spans="1:2" ht="18.75">
      <c r="A182" s="920" t="s">
        <v>991</v>
      </c>
    </row>
    <row r="183" spans="1:2" ht="18.75">
      <c r="A183" s="920" t="s">
        <v>990</v>
      </c>
    </row>
    <row r="184" spans="1:2" ht="18.75">
      <c r="A184" s="920" t="s">
        <v>989</v>
      </c>
    </row>
    <row r="185" spans="1:2" ht="18.75">
      <c r="A185" s="920" t="s">
        <v>988</v>
      </c>
    </row>
    <row r="186" spans="1:2" ht="18.75">
      <c r="A186" s="920" t="s">
        <v>987</v>
      </c>
    </row>
  </sheetData>
  <mergeCells count="19">
    <mergeCell ref="A77:C77"/>
    <mergeCell ref="A137:H138"/>
    <mergeCell ref="A139:H139"/>
    <mergeCell ref="A27:K27"/>
    <mergeCell ref="A147:K149"/>
    <mergeCell ref="A140:H140"/>
    <mergeCell ref="A141:H141"/>
    <mergeCell ref="A173:K174"/>
    <mergeCell ref="A153:K153"/>
    <mergeCell ref="A154:K164"/>
    <mergeCell ref="A146:K146"/>
    <mergeCell ref="A142:H142"/>
    <mergeCell ref="A168:K168"/>
    <mergeCell ref="A169:K171"/>
    <mergeCell ref="A3:L9"/>
    <mergeCell ref="A20:L21"/>
    <mergeCell ref="A19:L19"/>
    <mergeCell ref="A25:K25"/>
    <mergeCell ref="A26:K2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265D6-EBCF-4443-BF3D-6830B8DE6F5A}">
  <dimension ref="A1:U535"/>
  <sheetViews>
    <sheetView topLeftCell="A526" zoomScale="85" zoomScaleNormal="85" workbookViewId="0">
      <selection activeCell="A320" sqref="A320:B323"/>
    </sheetView>
  </sheetViews>
  <sheetFormatPr defaultRowHeight="14.25"/>
  <cols>
    <col min="1" max="1" width="35.3984375" customWidth="1"/>
    <col min="2" max="2" width="26.86328125" bestFit="1" customWidth="1"/>
    <col min="3" max="3" width="18.265625" bestFit="1" customWidth="1"/>
    <col min="4" max="4" width="21.265625" bestFit="1" customWidth="1"/>
    <col min="5" max="5" width="18.1328125" bestFit="1" customWidth="1"/>
    <col min="6" max="6" width="23.86328125" bestFit="1" customWidth="1"/>
    <col min="7" max="7" width="15" customWidth="1"/>
    <col min="8" max="8" width="14.59765625" customWidth="1"/>
    <col min="9" max="9" width="22.86328125" bestFit="1" customWidth="1"/>
    <col min="10" max="11" width="14.86328125" bestFit="1" customWidth="1"/>
    <col min="12" max="12" width="13.265625" bestFit="1" customWidth="1"/>
    <col min="13" max="15" width="12" bestFit="1" customWidth="1"/>
  </cols>
  <sheetData>
    <row r="1" spans="1:15" s="2" customFormat="1">
      <c r="A1" s="161">
        <v>1</v>
      </c>
    </row>
    <row r="2" spans="1:15">
      <c r="F2" s="919"/>
      <c r="G2" s="919">
        <v>2020</v>
      </c>
      <c r="H2" s="919">
        <v>2021</v>
      </c>
      <c r="I2" s="919"/>
      <c r="J2" s="919">
        <v>2020</v>
      </c>
      <c r="K2" s="919">
        <v>2021</v>
      </c>
      <c r="L2" s="919">
        <v>2022</v>
      </c>
      <c r="M2" s="919"/>
      <c r="N2" s="919"/>
      <c r="O2" s="919"/>
    </row>
    <row r="3" spans="1:15">
      <c r="A3" s="915" t="s">
        <v>0</v>
      </c>
      <c r="B3" s="914"/>
      <c r="C3" s="914"/>
      <c r="D3" s="914"/>
      <c r="E3" s="914"/>
      <c r="F3" s="915" t="s">
        <v>1</v>
      </c>
      <c r="G3" s="915"/>
      <c r="H3" s="915"/>
      <c r="I3" s="915" t="s">
        <v>2</v>
      </c>
      <c r="J3" s="915"/>
      <c r="K3" s="915"/>
    </row>
    <row r="4" spans="1:15">
      <c r="A4" s="915"/>
      <c r="B4" s="915" t="s">
        <v>3</v>
      </c>
      <c r="C4" s="915" t="s">
        <v>986</v>
      </c>
      <c r="D4" s="915" t="s">
        <v>84</v>
      </c>
      <c r="E4" s="914"/>
      <c r="F4" s="915" t="s">
        <v>6</v>
      </c>
      <c r="G4" s="914"/>
      <c r="H4" s="914"/>
      <c r="I4" s="914"/>
      <c r="J4" s="914"/>
      <c r="K4" s="914"/>
    </row>
    <row r="5" spans="1:15">
      <c r="A5" s="915" t="s">
        <v>7</v>
      </c>
      <c r="B5" s="914">
        <v>8530964.4000000004</v>
      </c>
      <c r="C5" s="914">
        <v>4473186.5999999996</v>
      </c>
      <c r="D5" s="914">
        <v>4057777.8000000007</v>
      </c>
      <c r="E5" s="914"/>
      <c r="F5" s="915" t="s">
        <v>8</v>
      </c>
      <c r="G5" s="914">
        <v>4770618</v>
      </c>
      <c r="H5" s="914">
        <v>3743092</v>
      </c>
      <c r="I5" s="915" t="s">
        <v>9</v>
      </c>
      <c r="J5" s="917">
        <v>885654</v>
      </c>
      <c r="K5" s="917">
        <v>877832</v>
      </c>
      <c r="L5" s="918"/>
      <c r="M5" s="916"/>
      <c r="N5" s="916"/>
      <c r="O5" s="916"/>
    </row>
    <row r="6" spans="1:15">
      <c r="A6" s="915" t="s">
        <v>10</v>
      </c>
      <c r="B6" s="914">
        <v>14218274</v>
      </c>
      <c r="C6" s="914">
        <v>7455311</v>
      </c>
      <c r="D6" s="914">
        <v>6762963</v>
      </c>
      <c r="E6" s="914"/>
      <c r="F6" s="915" t="s">
        <v>11</v>
      </c>
      <c r="G6" s="914">
        <v>4470618</v>
      </c>
      <c r="H6" s="914">
        <v>4427526</v>
      </c>
      <c r="I6" s="915" t="s">
        <v>12</v>
      </c>
      <c r="J6" s="917">
        <v>623988</v>
      </c>
      <c r="K6" s="917">
        <v>646156</v>
      </c>
      <c r="L6" s="916"/>
      <c r="M6" s="916"/>
      <c r="N6" s="916"/>
      <c r="O6" s="916"/>
    </row>
    <row r="7" spans="1:15">
      <c r="A7" s="915" t="s">
        <v>13</v>
      </c>
      <c r="B7" s="914">
        <v>5687309.6000000015</v>
      </c>
      <c r="C7" s="914">
        <v>2982124.4000000004</v>
      </c>
      <c r="D7" s="914">
        <v>2705185.2000000011</v>
      </c>
      <c r="E7" s="914"/>
      <c r="F7" s="915" t="s">
        <v>14</v>
      </c>
      <c r="G7" s="914">
        <v>118585</v>
      </c>
      <c r="H7" s="914">
        <v>91059</v>
      </c>
      <c r="I7" s="915" t="s">
        <v>15</v>
      </c>
      <c r="J7" s="917">
        <v>992684</v>
      </c>
      <c r="K7" s="917">
        <v>946528</v>
      </c>
      <c r="L7" s="916"/>
      <c r="M7" s="916"/>
      <c r="N7" s="916"/>
      <c r="O7" s="916"/>
    </row>
    <row r="8" spans="1:15">
      <c r="A8" s="914"/>
      <c r="B8" s="914">
        <v>28436548</v>
      </c>
      <c r="C8" s="914">
        <v>14910622</v>
      </c>
      <c r="D8" s="914">
        <v>13525926</v>
      </c>
      <c r="E8" s="914"/>
      <c r="F8" s="915" t="s">
        <v>16</v>
      </c>
      <c r="G8" s="914">
        <v>3272506</v>
      </c>
      <c r="H8" s="914">
        <v>3281447</v>
      </c>
      <c r="I8" s="915" t="s">
        <v>17</v>
      </c>
      <c r="J8" s="917">
        <v>649222</v>
      </c>
      <c r="K8" s="917">
        <v>602694</v>
      </c>
      <c r="L8" s="916"/>
      <c r="M8" s="916"/>
      <c r="N8" s="916"/>
      <c r="O8" s="916"/>
    </row>
    <row r="9" spans="1:15">
      <c r="A9" s="914"/>
      <c r="B9" s="914"/>
      <c r="C9" s="914"/>
      <c r="D9" s="914"/>
      <c r="E9" s="914"/>
      <c r="F9" s="915" t="s">
        <v>18</v>
      </c>
      <c r="G9" s="914">
        <v>442696</v>
      </c>
      <c r="H9" s="914">
        <v>461249</v>
      </c>
      <c r="I9" s="915" t="s">
        <v>19</v>
      </c>
      <c r="J9" s="917">
        <v>223632</v>
      </c>
      <c r="K9" s="917">
        <v>220938</v>
      </c>
      <c r="L9" s="916"/>
      <c r="M9" s="916"/>
      <c r="N9" s="916"/>
      <c r="O9" s="916"/>
    </row>
    <row r="10" spans="1:15">
      <c r="A10" s="914"/>
      <c r="B10" s="914"/>
      <c r="C10" s="914"/>
      <c r="D10" s="914"/>
      <c r="E10" s="914"/>
      <c r="F10" s="915" t="s">
        <v>20</v>
      </c>
      <c r="G10" s="914">
        <v>181412</v>
      </c>
      <c r="H10" s="914">
        <v>220163</v>
      </c>
      <c r="I10" s="915" t="s">
        <v>21</v>
      </c>
      <c r="J10" s="917">
        <v>3375180</v>
      </c>
      <c r="K10" s="917">
        <v>3294148</v>
      </c>
      <c r="L10" s="916"/>
      <c r="M10" s="916"/>
      <c r="N10" s="916"/>
      <c r="O10" s="916"/>
    </row>
    <row r="11" spans="1:15">
      <c r="A11" s="914"/>
      <c r="B11" s="915" t="s">
        <v>22</v>
      </c>
      <c r="C11" s="914"/>
      <c r="D11" s="914">
        <v>1499477</v>
      </c>
      <c r="E11" s="914"/>
      <c r="F11" s="915" t="s">
        <v>23</v>
      </c>
      <c r="G11" s="914">
        <v>13256435</v>
      </c>
      <c r="H11" s="914">
        <v>12224536</v>
      </c>
      <c r="I11" s="915"/>
      <c r="J11" s="914"/>
      <c r="K11" s="914"/>
    </row>
    <row r="12" spans="1:15">
      <c r="A12" s="914"/>
      <c r="B12" s="915" t="s">
        <v>24</v>
      </c>
      <c r="C12" s="914"/>
      <c r="D12" s="914">
        <v>6000000</v>
      </c>
      <c r="E12" s="914"/>
      <c r="F12" s="915"/>
      <c r="G12" s="914"/>
      <c r="H12" s="914"/>
      <c r="I12" s="915"/>
      <c r="J12" s="914"/>
      <c r="K12" s="914"/>
    </row>
    <row r="13" spans="1:15">
      <c r="A13" s="914"/>
      <c r="B13" s="915" t="s">
        <v>25</v>
      </c>
      <c r="C13" s="914"/>
      <c r="D13" s="914">
        <v>2422147</v>
      </c>
      <c r="E13" s="914"/>
      <c r="F13" s="915"/>
      <c r="G13" s="914"/>
      <c r="H13" s="914"/>
      <c r="I13" s="915" t="s">
        <v>26</v>
      </c>
      <c r="J13" s="914">
        <v>894429</v>
      </c>
      <c r="K13" s="914">
        <v>894429</v>
      </c>
    </row>
    <row r="14" spans="1:15">
      <c r="A14" s="914"/>
      <c r="B14" s="915" t="s">
        <v>27</v>
      </c>
      <c r="C14" s="914"/>
      <c r="D14" s="914">
        <v>1150851</v>
      </c>
      <c r="E14" s="914"/>
      <c r="F14" s="915" t="s">
        <v>28</v>
      </c>
      <c r="G14" s="914">
        <v>2000000</v>
      </c>
      <c r="H14" s="914">
        <v>2000000</v>
      </c>
      <c r="I14" s="915"/>
      <c r="J14" s="914"/>
      <c r="K14" s="914"/>
    </row>
    <row r="15" spans="1:15">
      <c r="A15" s="914"/>
      <c r="B15" s="915" t="s">
        <v>29</v>
      </c>
      <c r="C15" s="914"/>
      <c r="D15" s="914">
        <v>698580</v>
      </c>
      <c r="E15" s="914"/>
      <c r="F15" s="915" t="s">
        <v>30</v>
      </c>
      <c r="G15" s="914">
        <v>5186709</v>
      </c>
      <c r="H15" s="914">
        <v>5186709</v>
      </c>
      <c r="I15" s="915"/>
      <c r="J15" s="914"/>
      <c r="K15" s="914"/>
    </row>
    <row r="16" spans="1:15">
      <c r="A16" s="914"/>
      <c r="B16" s="915"/>
      <c r="C16" s="914"/>
      <c r="D16" s="914"/>
      <c r="E16" s="914"/>
      <c r="F16" s="915" t="s">
        <v>31</v>
      </c>
      <c r="G16" s="914">
        <v>-1574982</v>
      </c>
      <c r="H16" s="914">
        <v>-2645833</v>
      </c>
      <c r="I16" s="915"/>
      <c r="J16" s="914"/>
      <c r="K16" s="914"/>
    </row>
    <row r="17" spans="1:11">
      <c r="A17" s="914"/>
      <c r="B17" s="915" t="s">
        <v>32</v>
      </c>
      <c r="C17" s="914"/>
      <c r="D17" s="914">
        <v>7276486</v>
      </c>
      <c r="E17" s="914"/>
      <c r="F17" s="915" t="s">
        <v>33</v>
      </c>
      <c r="G17" s="914">
        <v>1046944</v>
      </c>
      <c r="H17" s="914">
        <v>1052944</v>
      </c>
      <c r="I17" s="915" t="s">
        <v>34</v>
      </c>
      <c r="J17" s="914">
        <v>130808</v>
      </c>
      <c r="K17" s="914">
        <v>180808</v>
      </c>
    </row>
    <row r="18" spans="1:11">
      <c r="A18" s="914"/>
      <c r="B18" s="915" t="s">
        <v>35</v>
      </c>
      <c r="C18" s="914"/>
      <c r="D18" s="914">
        <v>6249440</v>
      </c>
      <c r="E18" s="914"/>
      <c r="F18" s="915" t="s">
        <v>36</v>
      </c>
      <c r="G18" s="914">
        <v>-110025</v>
      </c>
      <c r="H18" s="914">
        <v>-190025</v>
      </c>
      <c r="I18" s="915" t="s">
        <v>37</v>
      </c>
      <c r="J18" s="914">
        <v>6626602</v>
      </c>
      <c r="K18" s="914">
        <v>7626602</v>
      </c>
    </row>
    <row r="19" spans="1:11">
      <c r="A19" s="914"/>
      <c r="B19" s="915"/>
      <c r="C19" s="914"/>
      <c r="D19" s="914"/>
      <c r="E19" s="914"/>
      <c r="F19" s="915" t="s">
        <v>38</v>
      </c>
      <c r="G19" s="914">
        <v>603400</v>
      </c>
      <c r="H19" s="914">
        <v>751700</v>
      </c>
      <c r="I19" s="915" t="s">
        <v>39</v>
      </c>
      <c r="J19" s="914">
        <v>9381462</v>
      </c>
      <c r="K19" s="914">
        <v>6384044</v>
      </c>
    </row>
    <row r="20" spans="1:11">
      <c r="A20" s="914"/>
      <c r="B20" s="915" t="s">
        <v>40</v>
      </c>
      <c r="C20" s="914"/>
      <c r="D20" s="914">
        <v>2063258</v>
      </c>
      <c r="E20" s="914"/>
      <c r="F20" s="915" t="s">
        <v>41</v>
      </c>
      <c r="G20" s="914">
        <v>7152046</v>
      </c>
      <c r="H20" s="914">
        <v>6155495</v>
      </c>
      <c r="I20" s="915" t="s">
        <v>42</v>
      </c>
      <c r="J20" s="914">
        <v>16138872</v>
      </c>
      <c r="K20" s="914">
        <v>14191454</v>
      </c>
    </row>
    <row r="21" spans="1:11">
      <c r="A21" s="914"/>
      <c r="B21" s="915"/>
      <c r="C21" s="914"/>
      <c r="D21" s="914"/>
      <c r="E21" s="914"/>
      <c r="F21" s="915"/>
      <c r="G21" s="914"/>
      <c r="H21" s="914"/>
      <c r="I21" s="914"/>
      <c r="J21" s="914"/>
      <c r="K21" s="914"/>
    </row>
    <row r="22" spans="1:11">
      <c r="A22" s="914"/>
      <c r="B22" s="915" t="s">
        <v>43</v>
      </c>
      <c r="C22" s="914"/>
      <c r="D22" s="914">
        <v>4186182</v>
      </c>
      <c r="E22" s="914"/>
      <c r="F22" s="915" t="s">
        <v>1</v>
      </c>
      <c r="G22" s="914">
        <v>20408481</v>
      </c>
      <c r="H22" s="914">
        <v>18380031</v>
      </c>
      <c r="I22" s="914" t="s">
        <v>44</v>
      </c>
      <c r="J22" s="914">
        <v>20408481</v>
      </c>
      <c r="K22" s="914">
        <v>18380031</v>
      </c>
    </row>
    <row r="24" spans="1:11" s="165" customFormat="1">
      <c r="A24" s="165" t="s">
        <v>985</v>
      </c>
    </row>
    <row r="25" spans="1:11" s="165" customFormat="1">
      <c r="A25" s="165" t="s">
        <v>984</v>
      </c>
    </row>
    <row r="26" spans="1:11">
      <c r="A26" s="913"/>
    </row>
    <row r="27" spans="1:11">
      <c r="A27" s="913"/>
    </row>
    <row r="29" spans="1:11" s="2" customFormat="1">
      <c r="A29" s="161">
        <v>2</v>
      </c>
    </row>
    <row r="58" spans="1:12">
      <c r="A58" s="1000" t="s">
        <v>983</v>
      </c>
      <c r="B58" s="964"/>
      <c r="C58" s="964"/>
      <c r="D58" s="964"/>
      <c r="E58" s="964"/>
      <c r="F58" s="964"/>
      <c r="G58" s="964"/>
      <c r="H58" s="964"/>
      <c r="I58" s="964"/>
      <c r="J58" s="964"/>
      <c r="K58" s="964"/>
      <c r="L58" s="965"/>
    </row>
    <row r="59" spans="1:12">
      <c r="A59" s="966"/>
      <c r="B59" s="967"/>
      <c r="C59" s="967"/>
      <c r="D59" s="967"/>
      <c r="E59" s="967"/>
      <c r="F59" s="967"/>
      <c r="G59" s="967"/>
      <c r="H59" s="967"/>
      <c r="I59" s="967"/>
      <c r="J59" s="967"/>
      <c r="K59" s="967"/>
      <c r="L59" s="968"/>
    </row>
    <row r="60" spans="1:12">
      <c r="A60" s="966"/>
      <c r="B60" s="967"/>
      <c r="C60" s="967"/>
      <c r="D60" s="967"/>
      <c r="E60" s="967"/>
      <c r="F60" s="967"/>
      <c r="G60" s="967"/>
      <c r="H60" s="967"/>
      <c r="I60" s="967"/>
      <c r="J60" s="967"/>
      <c r="K60" s="967"/>
      <c r="L60" s="968"/>
    </row>
    <row r="61" spans="1:12">
      <c r="A61" s="966"/>
      <c r="B61" s="967"/>
      <c r="C61" s="967"/>
      <c r="D61" s="967"/>
      <c r="E61" s="967"/>
      <c r="F61" s="967"/>
      <c r="G61" s="967"/>
      <c r="H61" s="967"/>
      <c r="I61" s="967"/>
      <c r="J61" s="967"/>
      <c r="K61" s="967"/>
      <c r="L61" s="968"/>
    </row>
    <row r="62" spans="1:12">
      <c r="A62" s="966"/>
      <c r="B62" s="967"/>
      <c r="C62" s="967"/>
      <c r="D62" s="967"/>
      <c r="E62" s="967"/>
      <c r="F62" s="967"/>
      <c r="G62" s="967"/>
      <c r="H62" s="967"/>
      <c r="I62" s="967"/>
      <c r="J62" s="967"/>
      <c r="K62" s="967"/>
      <c r="L62" s="968"/>
    </row>
    <row r="63" spans="1:12">
      <c r="A63" s="966"/>
      <c r="B63" s="967"/>
      <c r="C63" s="967"/>
      <c r="D63" s="967"/>
      <c r="E63" s="967"/>
      <c r="F63" s="967"/>
      <c r="G63" s="967"/>
      <c r="H63" s="967"/>
      <c r="I63" s="967"/>
      <c r="J63" s="967"/>
      <c r="K63" s="967"/>
      <c r="L63" s="968"/>
    </row>
    <row r="64" spans="1:12">
      <c r="A64" s="969"/>
      <c r="B64" s="970"/>
      <c r="C64" s="970"/>
      <c r="D64" s="970"/>
      <c r="E64" s="970"/>
      <c r="F64" s="970"/>
      <c r="G64" s="970"/>
      <c r="H64" s="970"/>
      <c r="I64" s="970"/>
      <c r="J64" s="970"/>
      <c r="K64" s="970"/>
      <c r="L64" s="971"/>
    </row>
    <row r="66" spans="1:12" s="2" customFormat="1">
      <c r="A66" s="161">
        <v>3</v>
      </c>
    </row>
    <row r="68" spans="1:12" ht="15.75">
      <c r="A68" s="113" t="s">
        <v>45</v>
      </c>
      <c r="B68" s="113">
        <v>2020</v>
      </c>
      <c r="C68" s="113">
        <v>2021</v>
      </c>
      <c r="D68" s="5"/>
      <c r="E68" s="5"/>
      <c r="F68" s="5"/>
      <c r="G68" s="5"/>
      <c r="H68" s="5"/>
      <c r="I68" s="5"/>
      <c r="J68" s="5"/>
      <c r="K68" s="5"/>
      <c r="L68" s="5"/>
    </row>
    <row r="69" spans="1:12" ht="15.75">
      <c r="A69" s="114" t="s">
        <v>46</v>
      </c>
      <c r="B69" s="114">
        <v>2</v>
      </c>
      <c r="C69" s="114">
        <v>1</v>
      </c>
      <c r="D69" s="5"/>
      <c r="E69" s="5"/>
      <c r="F69" s="5"/>
      <c r="G69" s="5"/>
      <c r="H69" s="5"/>
      <c r="I69" s="5"/>
      <c r="J69" s="5"/>
      <c r="K69" s="5"/>
      <c r="L69" s="5"/>
    </row>
    <row r="70" spans="1:12" ht="15.75">
      <c r="A70" s="114" t="s">
        <v>982</v>
      </c>
      <c r="B70" s="114">
        <v>2</v>
      </c>
      <c r="C70" s="114">
        <v>3</v>
      </c>
      <c r="D70" s="5"/>
      <c r="E70" s="5"/>
      <c r="F70" s="5"/>
      <c r="G70" s="5"/>
      <c r="H70" s="5"/>
      <c r="I70" s="5"/>
      <c r="J70" s="5"/>
      <c r="K70" s="5"/>
      <c r="L70" s="5"/>
    </row>
    <row r="71" spans="1:12" ht="15.75">
      <c r="A71" s="114" t="s">
        <v>981</v>
      </c>
      <c r="B71" s="115">
        <v>0.1</v>
      </c>
      <c r="C71" s="115">
        <v>0.09</v>
      </c>
      <c r="D71" s="5"/>
      <c r="E71" s="5"/>
      <c r="F71" s="5"/>
      <c r="G71" s="5"/>
      <c r="H71" s="5"/>
      <c r="I71" s="5"/>
      <c r="J71" s="5"/>
      <c r="K71" s="5"/>
      <c r="L71" s="5"/>
    </row>
    <row r="73" spans="1:12">
      <c r="A73" s="1001" t="s">
        <v>980</v>
      </c>
      <c r="B73" s="964"/>
      <c r="C73" s="964"/>
      <c r="D73" s="964"/>
      <c r="E73" s="964"/>
      <c r="F73" s="964"/>
      <c r="G73" s="964"/>
      <c r="H73" s="964"/>
      <c r="I73" s="964"/>
      <c r="J73" s="964"/>
      <c r="K73" s="964"/>
      <c r="L73" s="965"/>
    </row>
    <row r="74" spans="1:12">
      <c r="A74" s="966"/>
      <c r="B74" s="967"/>
      <c r="C74" s="967"/>
      <c r="D74" s="967"/>
      <c r="E74" s="967"/>
      <c r="F74" s="967"/>
      <c r="G74" s="967"/>
      <c r="H74" s="967"/>
      <c r="I74" s="967"/>
      <c r="J74" s="967"/>
      <c r="K74" s="967"/>
      <c r="L74" s="968"/>
    </row>
    <row r="75" spans="1:12">
      <c r="A75" s="966"/>
      <c r="B75" s="967"/>
      <c r="C75" s="967"/>
      <c r="D75" s="967"/>
      <c r="E75" s="967"/>
      <c r="F75" s="967"/>
      <c r="G75" s="967"/>
      <c r="H75" s="967"/>
      <c r="I75" s="967"/>
      <c r="J75" s="967"/>
      <c r="K75" s="967"/>
      <c r="L75" s="968"/>
    </row>
    <row r="76" spans="1:12" ht="31.5" customHeight="1">
      <c r="A76" s="969"/>
      <c r="B76" s="970"/>
      <c r="C76" s="970"/>
      <c r="D76" s="970"/>
      <c r="E76" s="970"/>
      <c r="F76" s="970"/>
      <c r="G76" s="970"/>
      <c r="H76" s="970"/>
      <c r="I76" s="970"/>
      <c r="J76" s="970"/>
      <c r="K76" s="970"/>
      <c r="L76" s="971"/>
    </row>
    <row r="83" spans="1:12" s="2" customFormat="1">
      <c r="A83" s="161">
        <v>4</v>
      </c>
    </row>
    <row r="85" spans="1:12" ht="14.65" customHeight="1">
      <c r="A85" s="1001" t="s">
        <v>979</v>
      </c>
      <c r="B85" s="1002"/>
      <c r="C85" s="1002"/>
      <c r="D85" s="1002"/>
      <c r="E85" s="1002"/>
      <c r="F85" s="1002"/>
      <c r="G85" s="1002"/>
      <c r="H85" s="1002"/>
      <c r="I85" s="1002"/>
      <c r="J85" s="1002"/>
      <c r="K85" s="1002"/>
      <c r="L85" s="1003"/>
    </row>
    <row r="86" spans="1:12" ht="14.65" customHeight="1">
      <c r="A86" s="1004"/>
      <c r="B86" s="1005"/>
      <c r="C86" s="1005"/>
      <c r="D86" s="1005"/>
      <c r="E86" s="1005"/>
      <c r="F86" s="1005"/>
      <c r="G86" s="1005"/>
      <c r="H86" s="1005"/>
      <c r="I86" s="1005"/>
      <c r="J86" s="1005"/>
      <c r="K86" s="1005"/>
      <c r="L86" s="1006"/>
    </row>
    <row r="87" spans="1:12" ht="14.65" customHeight="1">
      <c r="A87" s="1004"/>
      <c r="B87" s="1005"/>
      <c r="C87" s="1005"/>
      <c r="D87" s="1005"/>
      <c r="E87" s="1005"/>
      <c r="F87" s="1005"/>
      <c r="G87" s="1005"/>
      <c r="H87" s="1005"/>
      <c r="I87" s="1005"/>
      <c r="J87" s="1005"/>
      <c r="K87" s="1005"/>
      <c r="L87" s="1006"/>
    </row>
    <row r="88" spans="1:12" ht="14.65" customHeight="1">
      <c r="A88" s="1004"/>
      <c r="B88" s="1005"/>
      <c r="C88" s="1005"/>
      <c r="D88" s="1005"/>
      <c r="E88" s="1005"/>
      <c r="F88" s="1005"/>
      <c r="G88" s="1005"/>
      <c r="H88" s="1005"/>
      <c r="I88" s="1005"/>
      <c r="J88" s="1005"/>
      <c r="K88" s="1005"/>
      <c r="L88" s="1006"/>
    </row>
    <row r="89" spans="1:12" ht="14.65" customHeight="1">
      <c r="A89" s="1004"/>
      <c r="B89" s="1005"/>
      <c r="C89" s="1005"/>
      <c r="D89" s="1005"/>
      <c r="E89" s="1005"/>
      <c r="F89" s="1005"/>
      <c r="G89" s="1005"/>
      <c r="H89" s="1005"/>
      <c r="I89" s="1005"/>
      <c r="J89" s="1005"/>
      <c r="K89" s="1005"/>
      <c r="L89" s="1006"/>
    </row>
    <row r="90" spans="1:12" ht="14.65" customHeight="1">
      <c r="A90" s="1004"/>
      <c r="B90" s="1005"/>
      <c r="C90" s="1005"/>
      <c r="D90" s="1005"/>
      <c r="E90" s="1005"/>
      <c r="F90" s="1005"/>
      <c r="G90" s="1005"/>
      <c r="H90" s="1005"/>
      <c r="I90" s="1005"/>
      <c r="J90" s="1005"/>
      <c r="K90" s="1005"/>
      <c r="L90" s="1006"/>
    </row>
    <row r="91" spans="1:12" ht="14.65" customHeight="1">
      <c r="A91" s="1004"/>
      <c r="B91" s="1005"/>
      <c r="C91" s="1005"/>
      <c r="D91" s="1005"/>
      <c r="E91" s="1005"/>
      <c r="F91" s="1005"/>
      <c r="G91" s="1005"/>
      <c r="H91" s="1005"/>
      <c r="I91" s="1005"/>
      <c r="J91" s="1005"/>
      <c r="K91" s="1005"/>
      <c r="L91" s="1006"/>
    </row>
    <row r="92" spans="1:12" ht="14.65" customHeight="1">
      <c r="A92" s="1007"/>
      <c r="B92" s="1008"/>
      <c r="C92" s="1008"/>
      <c r="D92" s="1008"/>
      <c r="E92" s="1008"/>
      <c r="F92" s="1008"/>
      <c r="G92" s="1008"/>
      <c r="H92" s="1008"/>
      <c r="I92" s="1008"/>
      <c r="J92" s="1008"/>
      <c r="K92" s="1008"/>
      <c r="L92" s="1009"/>
    </row>
    <row r="94" spans="1:12" s="2" customFormat="1">
      <c r="A94" s="161">
        <v>5</v>
      </c>
    </row>
    <row r="96" spans="1:12" ht="14.65" customHeight="1">
      <c r="A96" s="1010" t="s">
        <v>978</v>
      </c>
      <c r="B96" s="1011"/>
      <c r="C96" s="1011"/>
      <c r="D96" s="1011"/>
      <c r="E96" s="1011"/>
      <c r="F96" s="1011"/>
      <c r="G96" s="1011"/>
      <c r="H96" s="1011"/>
      <c r="I96" s="1011"/>
      <c r="J96" s="1011"/>
      <c r="K96" s="1011"/>
      <c r="L96" s="1012"/>
    </row>
    <row r="97" spans="1:12" ht="14.65" customHeight="1">
      <c r="A97" s="1013"/>
      <c r="B97" s="1014"/>
      <c r="C97" s="1014"/>
      <c r="D97" s="1014"/>
      <c r="E97" s="1014"/>
      <c r="F97" s="1014"/>
      <c r="G97" s="1014"/>
      <c r="H97" s="1014"/>
      <c r="I97" s="1014"/>
      <c r="J97" s="1014"/>
      <c r="K97" s="1014"/>
      <c r="L97" s="1015"/>
    </row>
    <row r="98" spans="1:12" ht="14.65" customHeight="1">
      <c r="A98" s="1013"/>
      <c r="B98" s="1014"/>
      <c r="C98" s="1014"/>
      <c r="D98" s="1014"/>
      <c r="E98" s="1014"/>
      <c r="F98" s="1014"/>
      <c r="G98" s="1014"/>
      <c r="H98" s="1014"/>
      <c r="I98" s="1014"/>
      <c r="J98" s="1014"/>
      <c r="K98" s="1014"/>
      <c r="L98" s="1015"/>
    </row>
    <row r="99" spans="1:12" ht="14.65" customHeight="1">
      <c r="A99" s="1013"/>
      <c r="B99" s="1014"/>
      <c r="C99" s="1014"/>
      <c r="D99" s="1014"/>
      <c r="E99" s="1014"/>
      <c r="F99" s="1014"/>
      <c r="G99" s="1014"/>
      <c r="H99" s="1014"/>
      <c r="I99" s="1014"/>
      <c r="J99" s="1014"/>
      <c r="K99" s="1014"/>
      <c r="L99" s="1015"/>
    </row>
    <row r="100" spans="1:12" ht="14.65" customHeight="1">
      <c r="A100" s="1013"/>
      <c r="B100" s="1014"/>
      <c r="C100" s="1014"/>
      <c r="D100" s="1014"/>
      <c r="E100" s="1014"/>
      <c r="F100" s="1014"/>
      <c r="G100" s="1014"/>
      <c r="H100" s="1014"/>
      <c r="I100" s="1014"/>
      <c r="J100" s="1014"/>
      <c r="K100" s="1014"/>
      <c r="L100" s="1015"/>
    </row>
    <row r="101" spans="1:12" ht="14.65" customHeight="1">
      <c r="A101" s="1013"/>
      <c r="B101" s="1014"/>
      <c r="C101" s="1014"/>
      <c r="D101" s="1014"/>
      <c r="E101" s="1014"/>
      <c r="F101" s="1014"/>
      <c r="G101" s="1014"/>
      <c r="H101" s="1014"/>
      <c r="I101" s="1014"/>
      <c r="J101" s="1014"/>
      <c r="K101" s="1014"/>
      <c r="L101" s="1015"/>
    </row>
    <row r="102" spans="1:12" ht="14.65" customHeight="1">
      <c r="A102" s="1013"/>
      <c r="B102" s="1014"/>
      <c r="C102" s="1014"/>
      <c r="D102" s="1014"/>
      <c r="E102" s="1014"/>
      <c r="F102" s="1014"/>
      <c r="G102" s="1014"/>
      <c r="H102" s="1014"/>
      <c r="I102" s="1014"/>
      <c r="J102" s="1014"/>
      <c r="K102" s="1014"/>
      <c r="L102" s="1015"/>
    </row>
    <row r="103" spans="1:12" ht="14.65" customHeight="1">
      <c r="A103" s="1016"/>
      <c r="B103" s="1017"/>
      <c r="C103" s="1017"/>
      <c r="D103" s="1017"/>
      <c r="E103" s="1017"/>
      <c r="F103" s="1017"/>
      <c r="G103" s="1017"/>
      <c r="H103" s="1017"/>
      <c r="I103" s="1017"/>
      <c r="J103" s="1017"/>
      <c r="K103" s="1017"/>
      <c r="L103" s="1018"/>
    </row>
    <row r="104" spans="1:12">
      <c r="B104">
        <v>2023</v>
      </c>
      <c r="C104">
        <v>2024</v>
      </c>
      <c r="D104">
        <v>2025</v>
      </c>
    </row>
    <row r="105" spans="1:12">
      <c r="A105" t="s">
        <v>977</v>
      </c>
      <c r="B105" s="912">
        <v>0.05</v>
      </c>
      <c r="C105" s="912">
        <v>0.06</v>
      </c>
      <c r="D105" s="912">
        <v>7.0000000000000007E-2</v>
      </c>
    </row>
    <row r="106" spans="1:12">
      <c r="A106" t="s">
        <v>976</v>
      </c>
      <c r="B106" s="912">
        <v>0.1</v>
      </c>
      <c r="C106" s="912">
        <v>0.1</v>
      </c>
      <c r="D106" s="912">
        <v>0.09</v>
      </c>
    </row>
    <row r="112" spans="1:12" s="163" customFormat="1">
      <c r="A112" s="161">
        <v>6</v>
      </c>
    </row>
    <row r="114" spans="1:4" ht="18">
      <c r="A114" s="911" t="s">
        <v>47</v>
      </c>
      <c r="B114" s="910">
        <v>2020</v>
      </c>
      <c r="C114" s="910">
        <v>2021</v>
      </c>
      <c r="D114" s="910">
        <v>2022</v>
      </c>
    </row>
    <row r="115" spans="1:4" ht="15.75">
      <c r="A115" s="901" t="s">
        <v>48</v>
      </c>
      <c r="B115" s="900" t="s">
        <v>48</v>
      </c>
      <c r="C115" s="899" t="s">
        <v>48</v>
      </c>
      <c r="D115" s="899" t="s">
        <v>48</v>
      </c>
    </row>
    <row r="116" spans="1:4" ht="15.75">
      <c r="A116" s="904" t="s">
        <v>975</v>
      </c>
      <c r="B116" s="903" t="s">
        <v>932</v>
      </c>
      <c r="C116" s="902" t="s">
        <v>974</v>
      </c>
      <c r="D116" s="902" t="s">
        <v>974</v>
      </c>
    </row>
    <row r="117" spans="1:4" ht="15.75">
      <c r="A117" s="904" t="s">
        <v>973</v>
      </c>
      <c r="B117" s="903" t="s">
        <v>966</v>
      </c>
      <c r="C117" s="902" t="s">
        <v>972</v>
      </c>
      <c r="D117" s="902" t="s">
        <v>972</v>
      </c>
    </row>
    <row r="118" spans="1:4" ht="15.75">
      <c r="A118" s="904" t="s">
        <v>971</v>
      </c>
      <c r="B118" s="903" t="s">
        <v>970</v>
      </c>
      <c r="C118" s="902" t="s">
        <v>969</v>
      </c>
      <c r="D118" s="902" t="s">
        <v>969</v>
      </c>
    </row>
    <row r="119" spans="1:4" ht="15.75">
      <c r="A119" s="904" t="s">
        <v>968</v>
      </c>
      <c r="B119" s="903" t="s">
        <v>966</v>
      </c>
      <c r="C119" s="902" t="s">
        <v>945</v>
      </c>
      <c r="D119" s="902" t="s">
        <v>945</v>
      </c>
    </row>
    <row r="120" spans="1:4" ht="15.75">
      <c r="A120" s="904" t="s">
        <v>967</v>
      </c>
      <c r="B120" s="903" t="s">
        <v>966</v>
      </c>
      <c r="C120" s="902" t="s">
        <v>965</v>
      </c>
      <c r="D120" s="902" t="s">
        <v>965</v>
      </c>
    </row>
    <row r="121" spans="1:4" ht="15.75">
      <c r="A121" s="904" t="s">
        <v>48</v>
      </c>
      <c r="B121" s="903" t="s">
        <v>48</v>
      </c>
      <c r="C121" s="902" t="s">
        <v>48</v>
      </c>
      <c r="D121" s="902" t="s">
        <v>48</v>
      </c>
    </row>
    <row r="122" spans="1:4" ht="15.75">
      <c r="A122" s="904" t="s">
        <v>964</v>
      </c>
      <c r="B122" s="903" t="s">
        <v>963</v>
      </c>
      <c r="C122" s="902" t="s">
        <v>962</v>
      </c>
      <c r="D122" s="902" t="s">
        <v>962</v>
      </c>
    </row>
    <row r="123" spans="1:4" ht="15.75">
      <c r="A123" s="904" t="s">
        <v>961</v>
      </c>
      <c r="B123" s="903" t="s">
        <v>960</v>
      </c>
      <c r="C123" s="902" t="s">
        <v>960</v>
      </c>
      <c r="D123" s="902" t="s">
        <v>960</v>
      </c>
    </row>
    <row r="124" spans="1:4" ht="15.75">
      <c r="A124" s="904" t="s">
        <v>959</v>
      </c>
      <c r="B124" s="909" t="s">
        <v>958</v>
      </c>
      <c r="C124" s="908" t="s">
        <v>957</v>
      </c>
      <c r="D124" s="908" t="s">
        <v>957</v>
      </c>
    </row>
    <row r="125" spans="1:4" ht="15.75">
      <c r="A125" s="904" t="s">
        <v>956</v>
      </c>
      <c r="B125" s="903" t="s">
        <v>955</v>
      </c>
      <c r="C125" s="902" t="s">
        <v>954</v>
      </c>
      <c r="D125" s="902" t="s">
        <v>954</v>
      </c>
    </row>
    <row r="126" spans="1:4" ht="15.75">
      <c r="A126" s="904" t="s">
        <v>953</v>
      </c>
      <c r="B126" s="909" t="s">
        <v>952</v>
      </c>
      <c r="C126" s="908" t="s">
        <v>951</v>
      </c>
      <c r="D126" s="908" t="s">
        <v>951</v>
      </c>
    </row>
    <row r="127" spans="1:4" ht="15.75">
      <c r="A127" s="904" t="s">
        <v>48</v>
      </c>
      <c r="B127" s="903" t="s">
        <v>48</v>
      </c>
      <c r="C127" s="902" t="s">
        <v>48</v>
      </c>
    </row>
    <row r="128" spans="1:4" ht="18.399999999999999" thickBot="1">
      <c r="A128" s="907" t="s">
        <v>950</v>
      </c>
      <c r="B128" s="906" t="s">
        <v>927</v>
      </c>
      <c r="C128" s="905" t="s">
        <v>926</v>
      </c>
    </row>
    <row r="129" spans="1:11" ht="16.149999999999999" thickTop="1">
      <c r="A129" s="904" t="s">
        <v>48</v>
      </c>
      <c r="B129" s="903" t="s">
        <v>48</v>
      </c>
      <c r="C129" s="902" t="s">
        <v>48</v>
      </c>
    </row>
    <row r="130" spans="1:11" ht="15.75">
      <c r="A130" s="904" t="s">
        <v>949</v>
      </c>
      <c r="B130" s="903" t="s">
        <v>948</v>
      </c>
      <c r="C130" s="902" t="s">
        <v>940</v>
      </c>
    </row>
    <row r="131" spans="1:11" ht="15.75">
      <c r="A131" s="904" t="s">
        <v>947</v>
      </c>
      <c r="B131" s="903" t="s">
        <v>946</v>
      </c>
      <c r="C131" s="902" t="s">
        <v>945</v>
      </c>
    </row>
    <row r="132" spans="1:11" ht="15.75">
      <c r="A132" s="904" t="s">
        <v>944</v>
      </c>
      <c r="B132" s="903" t="s">
        <v>943</v>
      </c>
      <c r="C132" s="902" t="s">
        <v>942</v>
      </c>
    </row>
    <row r="133" spans="1:11" ht="15.75">
      <c r="A133" s="904" t="s">
        <v>941</v>
      </c>
      <c r="B133" s="903" t="s">
        <v>940</v>
      </c>
      <c r="C133" s="902" t="s">
        <v>939</v>
      </c>
    </row>
    <row r="134" spans="1:11" ht="15.75">
      <c r="A134" s="904" t="s">
        <v>48</v>
      </c>
      <c r="B134" s="903" t="s">
        <v>48</v>
      </c>
      <c r="C134" s="902" t="s">
        <v>48</v>
      </c>
    </row>
    <row r="135" spans="1:11" ht="15.75">
      <c r="A135" s="904" t="s">
        <v>48</v>
      </c>
      <c r="B135" s="903" t="s">
        <v>48</v>
      </c>
      <c r="C135" s="902" t="s">
        <v>48</v>
      </c>
    </row>
    <row r="136" spans="1:11" ht="15.75">
      <c r="A136" s="904" t="s">
        <v>938</v>
      </c>
      <c r="B136" s="903" t="s">
        <v>937</v>
      </c>
      <c r="C136" s="902" t="s">
        <v>936</v>
      </c>
    </row>
    <row r="137" spans="1:11" ht="15.75">
      <c r="A137" s="904" t="s">
        <v>935</v>
      </c>
      <c r="B137" s="903" t="s">
        <v>934</v>
      </c>
      <c r="C137" s="902" t="s">
        <v>934</v>
      </c>
    </row>
    <row r="138" spans="1:11" ht="15.75">
      <c r="A138" s="904" t="s">
        <v>933</v>
      </c>
      <c r="B138" s="903" t="s">
        <v>932</v>
      </c>
      <c r="C138" s="902" t="s">
        <v>932</v>
      </c>
    </row>
    <row r="139" spans="1:11" ht="15.75">
      <c r="A139" s="904" t="s">
        <v>931</v>
      </c>
      <c r="B139" s="903" t="s">
        <v>930</v>
      </c>
      <c r="C139" s="902" t="s">
        <v>929</v>
      </c>
    </row>
    <row r="140" spans="1:11" ht="15.75">
      <c r="A140" s="901" t="s">
        <v>48</v>
      </c>
      <c r="B140" s="900" t="s">
        <v>48</v>
      </c>
      <c r="C140" s="899" t="s">
        <v>48</v>
      </c>
    </row>
    <row r="141" spans="1:11" ht="18">
      <c r="A141" s="898" t="s">
        <v>928</v>
      </c>
      <c r="B141" s="897" t="s">
        <v>927</v>
      </c>
      <c r="C141" s="896" t="s">
        <v>926</v>
      </c>
    </row>
    <row r="143" spans="1:11" ht="15" customHeight="1">
      <c r="A143" s="1019" t="s">
        <v>925</v>
      </c>
      <c r="B143" s="1020"/>
      <c r="C143" s="1020"/>
      <c r="D143" s="1020"/>
      <c r="E143" s="1020"/>
      <c r="F143" s="1020"/>
      <c r="G143" s="1020"/>
      <c r="H143" s="1020"/>
      <c r="I143" s="1020"/>
      <c r="J143" s="1020"/>
      <c r="K143" s="1021"/>
    </row>
    <row r="144" spans="1:11" ht="15" customHeight="1">
      <c r="A144" s="997" t="s">
        <v>924</v>
      </c>
      <c r="B144" s="998"/>
      <c r="C144" s="998"/>
      <c r="D144" s="998"/>
      <c r="E144" s="998"/>
      <c r="F144" s="998"/>
      <c r="G144" s="998"/>
      <c r="H144" s="998"/>
      <c r="I144" s="998"/>
      <c r="J144" s="998"/>
      <c r="K144" s="999"/>
    </row>
    <row r="152" spans="1:12" s="163" customFormat="1">
      <c r="A152" s="161">
        <v>7</v>
      </c>
    </row>
    <row r="154" spans="1:12" ht="15.75">
      <c r="A154" s="211" t="s">
        <v>923</v>
      </c>
      <c r="B154" s="211"/>
      <c r="C154" s="212"/>
      <c r="D154" s="212"/>
      <c r="E154" s="212"/>
      <c r="F154" s="212"/>
      <c r="G154" s="212"/>
      <c r="H154" s="212"/>
      <c r="I154" s="212"/>
      <c r="J154" s="212"/>
      <c r="K154" s="212"/>
      <c r="L154" s="212"/>
    </row>
    <row r="155" spans="1:12" ht="15.75">
      <c r="A155" s="213"/>
      <c r="B155" s="214"/>
      <c r="C155" s="215"/>
      <c r="D155" s="215"/>
      <c r="E155" s="212"/>
      <c r="F155" s="212"/>
      <c r="G155" s="212"/>
      <c r="H155" s="212"/>
      <c r="I155" s="212"/>
      <c r="J155" s="212"/>
      <c r="K155" s="212"/>
      <c r="L155" s="212"/>
    </row>
    <row r="156" spans="1:12" ht="15.75">
      <c r="A156" s="216" t="s">
        <v>922</v>
      </c>
      <c r="B156" s="217"/>
      <c r="C156" s="895">
        <v>31</v>
      </c>
      <c r="D156" s="217"/>
      <c r="E156" s="212"/>
      <c r="F156" s="218"/>
      <c r="G156" s="212"/>
      <c r="H156" s="212"/>
      <c r="I156" s="212"/>
      <c r="J156" s="212"/>
      <c r="K156" s="212"/>
      <c r="L156" s="212"/>
    </row>
    <row r="157" spans="1:12" ht="15.75">
      <c r="A157" s="216" t="s">
        <v>921</v>
      </c>
      <c r="B157" s="217"/>
      <c r="C157" s="217">
        <v>6085</v>
      </c>
      <c r="D157" s="217"/>
      <c r="E157" s="212"/>
      <c r="F157" s="212"/>
      <c r="G157" s="212"/>
      <c r="H157" s="212"/>
      <c r="I157" s="212"/>
      <c r="J157" s="212"/>
      <c r="K157" s="212"/>
      <c r="L157" s="212"/>
    </row>
    <row r="158" spans="1:12" ht="15.75">
      <c r="A158" s="216" t="s">
        <v>920</v>
      </c>
      <c r="B158" s="217"/>
      <c r="C158" s="217">
        <v>5580</v>
      </c>
      <c r="D158" s="217"/>
      <c r="E158" s="212"/>
      <c r="F158" s="212"/>
      <c r="G158" s="212"/>
      <c r="H158" s="212"/>
      <c r="I158" s="212"/>
      <c r="J158" s="212"/>
      <c r="K158" s="212"/>
      <c r="L158" s="212"/>
    </row>
    <row r="159" spans="1:12" ht="15.75">
      <c r="A159" s="216" t="s">
        <v>919</v>
      </c>
      <c r="B159" s="217"/>
      <c r="C159" s="894">
        <v>0.6</v>
      </c>
      <c r="D159" s="217"/>
      <c r="E159" s="212"/>
      <c r="F159" s="212"/>
      <c r="G159" s="212"/>
      <c r="H159" s="212"/>
      <c r="I159" s="212"/>
      <c r="J159" s="212"/>
      <c r="K159" s="212"/>
      <c r="L159" s="212"/>
    </row>
    <row r="160" spans="1:12" ht="15.75">
      <c r="A160" s="212"/>
      <c r="B160" s="212"/>
      <c r="C160" s="212"/>
      <c r="D160" s="212"/>
      <c r="E160" s="212"/>
      <c r="F160" s="212"/>
      <c r="G160" s="212"/>
      <c r="H160" s="212"/>
      <c r="I160" s="212"/>
      <c r="J160" s="212"/>
      <c r="K160" s="212"/>
      <c r="L160" s="212"/>
    </row>
    <row r="161" spans="1:12" ht="14.65" customHeight="1">
      <c r="A161" s="1029" t="s">
        <v>918</v>
      </c>
      <c r="B161" s="1030"/>
      <c r="C161" s="1030"/>
      <c r="D161" s="1030"/>
      <c r="E161" s="1030"/>
      <c r="F161" s="1030"/>
      <c r="G161" s="1030"/>
      <c r="H161" s="893"/>
      <c r="I161" s="893"/>
      <c r="J161" s="893"/>
      <c r="K161" s="893"/>
      <c r="L161" s="892"/>
    </row>
    <row r="163" spans="1:12" s="163" customFormat="1">
      <c r="A163" s="161">
        <v>8</v>
      </c>
    </row>
    <row r="166" spans="1:12" ht="17.649999999999999" thickBot="1">
      <c r="A166" s="993" t="s">
        <v>917</v>
      </c>
      <c r="B166" s="994"/>
      <c r="C166" s="5"/>
      <c r="D166" s="5"/>
      <c r="E166" s="5"/>
      <c r="F166" s="5"/>
      <c r="G166" s="5"/>
      <c r="H166" s="5"/>
      <c r="I166" s="5"/>
      <c r="J166" s="5"/>
      <c r="K166" s="5"/>
      <c r="L166" s="5"/>
    </row>
    <row r="167" spans="1:12" ht="15.75">
      <c r="A167" s="891"/>
      <c r="B167" s="890">
        <v>2021</v>
      </c>
      <c r="C167" s="889">
        <v>2022</v>
      </c>
      <c r="D167" s="888"/>
      <c r="E167" s="888">
        <v>2021</v>
      </c>
      <c r="F167" s="887">
        <v>2022</v>
      </c>
      <c r="G167" s="5"/>
      <c r="H167" s="5"/>
      <c r="I167" s="5"/>
      <c r="J167" s="5"/>
      <c r="K167" s="5"/>
      <c r="L167" s="5"/>
    </row>
    <row r="168" spans="1:12" ht="15.75">
      <c r="A168" s="869" t="s">
        <v>1</v>
      </c>
      <c r="B168" s="868"/>
      <c r="C168" s="886"/>
      <c r="D168" s="868" t="s">
        <v>2</v>
      </c>
      <c r="E168" s="868"/>
      <c r="F168" s="877"/>
      <c r="G168" s="5"/>
      <c r="H168" s="5"/>
      <c r="I168" s="5"/>
      <c r="J168" s="5"/>
      <c r="K168" s="5"/>
      <c r="L168" s="5"/>
    </row>
    <row r="169" spans="1:12" ht="15.75">
      <c r="A169" s="869" t="s">
        <v>6</v>
      </c>
      <c r="B169" s="868"/>
      <c r="C169" s="867"/>
      <c r="D169" s="866"/>
      <c r="E169" s="866"/>
      <c r="F169" s="865"/>
      <c r="G169" s="5"/>
      <c r="H169" s="5"/>
      <c r="I169" s="5"/>
      <c r="J169" s="5"/>
      <c r="K169" s="5"/>
      <c r="L169" s="5"/>
    </row>
    <row r="170" spans="1:12" ht="15.75">
      <c r="A170" s="869" t="s">
        <v>8</v>
      </c>
      <c r="B170" s="874">
        <v>1000000</v>
      </c>
      <c r="C170" s="875">
        <v>4980000</v>
      </c>
      <c r="D170" s="866" t="s">
        <v>9</v>
      </c>
      <c r="E170" s="874">
        <v>800000</v>
      </c>
      <c r="F170" s="873">
        <v>900000</v>
      </c>
      <c r="G170" s="878"/>
      <c r="H170" s="876"/>
      <c r="I170" s="5"/>
      <c r="J170" s="5"/>
      <c r="K170" s="5"/>
      <c r="L170" s="5"/>
    </row>
    <row r="171" spans="1:12" ht="15.75">
      <c r="A171" s="869" t="s">
        <v>11</v>
      </c>
      <c r="B171" s="874">
        <v>4000000</v>
      </c>
      <c r="C171" s="875">
        <v>4300000</v>
      </c>
      <c r="D171" s="866" t="s">
        <v>12</v>
      </c>
      <c r="E171" s="874">
        <v>600000</v>
      </c>
      <c r="F171" s="873">
        <v>550000</v>
      </c>
      <c r="G171" s="878"/>
      <c r="H171" s="876"/>
      <c r="I171" s="5"/>
      <c r="J171" s="5"/>
      <c r="K171" s="5"/>
      <c r="L171" s="5"/>
    </row>
    <row r="172" spans="1:12" ht="31.5">
      <c r="A172" s="869" t="s">
        <v>14</v>
      </c>
      <c r="B172" s="874">
        <v>150000</v>
      </c>
      <c r="C172" s="875">
        <v>150000</v>
      </c>
      <c r="D172" s="866" t="s">
        <v>49</v>
      </c>
      <c r="E172" s="874">
        <v>1000000</v>
      </c>
      <c r="F172" s="880">
        <v>1100000</v>
      </c>
      <c r="G172" s="878"/>
      <c r="H172" s="876"/>
      <c r="I172" s="5"/>
      <c r="J172" s="5"/>
      <c r="K172" s="5"/>
      <c r="L172" s="5"/>
    </row>
    <row r="173" spans="1:12" ht="15.75">
      <c r="A173" s="869" t="s">
        <v>16</v>
      </c>
      <c r="B173" s="874">
        <v>3000000</v>
      </c>
      <c r="C173" s="875">
        <v>3250000</v>
      </c>
      <c r="D173" s="885" t="s">
        <v>17</v>
      </c>
      <c r="E173" s="884">
        <v>600000</v>
      </c>
      <c r="F173" s="883">
        <v>1100000</v>
      </c>
      <c r="G173" s="882"/>
      <c r="H173" s="881"/>
      <c r="I173" s="5"/>
      <c r="J173" s="5"/>
      <c r="K173" s="5"/>
      <c r="L173" s="5"/>
    </row>
    <row r="174" spans="1:12" ht="15.75">
      <c r="A174" s="869" t="s">
        <v>50</v>
      </c>
      <c r="B174" s="874">
        <v>400000</v>
      </c>
      <c r="C174" s="875">
        <v>420000</v>
      </c>
      <c r="D174" s="866" t="s">
        <v>19</v>
      </c>
      <c r="E174" s="874">
        <v>200000</v>
      </c>
      <c r="F174" s="880">
        <v>250000</v>
      </c>
      <c r="G174" s="878"/>
      <c r="H174" s="876"/>
      <c r="I174" s="5"/>
      <c r="J174" s="5"/>
      <c r="K174" s="5"/>
      <c r="L174" s="5"/>
    </row>
    <row r="175" spans="1:12" ht="31.5">
      <c r="A175" s="869" t="s">
        <v>51</v>
      </c>
      <c r="B175" s="874">
        <v>100000</v>
      </c>
      <c r="C175" s="875">
        <v>100000</v>
      </c>
      <c r="D175" s="866" t="s">
        <v>21</v>
      </c>
      <c r="E175" s="871">
        <v>3200000</v>
      </c>
      <c r="F175" s="879">
        <v>3900000</v>
      </c>
      <c r="G175" s="878">
        <f>B176-E175</f>
        <v>5450000</v>
      </c>
      <c r="H175" s="876"/>
      <c r="I175" s="5"/>
      <c r="J175" s="5"/>
      <c r="K175" s="5"/>
      <c r="L175" s="5"/>
    </row>
    <row r="176" spans="1:12" ht="15.75">
      <c r="A176" s="869" t="s">
        <v>23</v>
      </c>
      <c r="B176" s="871">
        <v>8650000</v>
      </c>
      <c r="C176" s="872">
        <v>13200000</v>
      </c>
      <c r="D176" s="866"/>
      <c r="E176" s="866"/>
      <c r="F176" s="865"/>
      <c r="G176" s="862">
        <f>C176-F175</f>
        <v>9300000</v>
      </c>
      <c r="H176" s="5"/>
      <c r="I176" s="5"/>
      <c r="J176" s="5"/>
      <c r="K176" s="5"/>
      <c r="L176" s="5"/>
    </row>
    <row r="177" spans="1:12" ht="15.75">
      <c r="A177" s="869"/>
      <c r="B177" s="866"/>
      <c r="C177" s="867"/>
      <c r="D177" s="868"/>
      <c r="E177" s="868"/>
      <c r="F177" s="877"/>
      <c r="G177" s="5"/>
      <c r="H177" s="5"/>
      <c r="I177" s="5"/>
      <c r="J177" s="5"/>
      <c r="K177" s="5"/>
      <c r="L177" s="5"/>
    </row>
    <row r="178" spans="1:12" ht="15.75">
      <c r="A178" s="869"/>
      <c r="B178" s="866"/>
      <c r="C178" s="867"/>
      <c r="D178" s="868"/>
      <c r="E178" s="868"/>
      <c r="F178" s="877"/>
      <c r="G178" s="5"/>
      <c r="H178" s="5"/>
      <c r="I178" s="5"/>
      <c r="J178" s="5"/>
      <c r="K178" s="5"/>
      <c r="L178" s="5"/>
    </row>
    <row r="179" spans="1:12" ht="15.75">
      <c r="A179" s="869" t="s">
        <v>28</v>
      </c>
      <c r="B179" s="874">
        <v>2000000</v>
      </c>
      <c r="C179" s="875">
        <v>2000000</v>
      </c>
      <c r="D179" s="866"/>
      <c r="E179" s="866"/>
      <c r="F179" s="865"/>
      <c r="G179" s="5"/>
      <c r="H179" s="5"/>
      <c r="I179" s="5"/>
      <c r="J179" s="5"/>
      <c r="K179" s="5"/>
      <c r="L179" s="5"/>
    </row>
    <row r="180" spans="1:12" ht="15.75">
      <c r="A180" s="869" t="s">
        <v>30</v>
      </c>
      <c r="B180" s="874">
        <v>20000000</v>
      </c>
      <c r="C180" s="875">
        <v>17500000</v>
      </c>
      <c r="D180" s="866" t="s">
        <v>26</v>
      </c>
      <c r="E180" s="866">
        <v>8000000</v>
      </c>
      <c r="F180" s="865">
        <v>7900000</v>
      </c>
      <c r="G180" s="5"/>
      <c r="H180" s="5"/>
      <c r="I180" s="5"/>
      <c r="J180" s="5"/>
      <c r="K180" s="5"/>
      <c r="L180" s="5"/>
    </row>
    <row r="181" spans="1:12" ht="15.75">
      <c r="A181" s="869" t="s">
        <v>31</v>
      </c>
      <c r="B181" s="874">
        <v>-8000000</v>
      </c>
      <c r="C181" s="875">
        <v>-8700000</v>
      </c>
      <c r="D181" s="866"/>
      <c r="E181" s="866"/>
      <c r="F181" s="865"/>
      <c r="G181" s="1256">
        <f>B187/(E175+E180)</f>
        <v>2.1294642857142856</v>
      </c>
      <c r="H181" s="140"/>
      <c r="I181" s="140"/>
      <c r="J181" s="876"/>
      <c r="K181" s="5"/>
      <c r="L181" s="5"/>
    </row>
    <row r="182" spans="1:12" ht="15.75">
      <c r="A182" s="869" t="s">
        <v>33</v>
      </c>
      <c r="B182" s="874">
        <v>2000000</v>
      </c>
      <c r="C182" s="875">
        <v>2000000</v>
      </c>
      <c r="D182" s="866" t="s">
        <v>34</v>
      </c>
      <c r="E182" s="874">
        <v>100000</v>
      </c>
      <c r="F182" s="873">
        <v>100000</v>
      </c>
      <c r="G182" s="5"/>
      <c r="H182" s="5"/>
      <c r="I182" s="5"/>
      <c r="J182" s="5"/>
      <c r="K182" s="5"/>
      <c r="L182" s="5"/>
    </row>
    <row r="183" spans="1:12" ht="31.5">
      <c r="A183" s="869" t="s">
        <v>36</v>
      </c>
      <c r="B183" s="874">
        <v>-800000</v>
      </c>
      <c r="C183" s="875">
        <v>-900000</v>
      </c>
      <c r="D183" s="866" t="s">
        <v>37</v>
      </c>
      <c r="E183" s="874">
        <v>6000000</v>
      </c>
      <c r="F183" s="873">
        <v>6000000</v>
      </c>
      <c r="G183" s="5">
        <f>C187/(F175+F180)</f>
        <v>2.1271186440677967</v>
      </c>
      <c r="H183" s="5"/>
      <c r="I183" s="5"/>
      <c r="J183" s="5"/>
      <c r="K183" s="5"/>
      <c r="L183" s="5"/>
    </row>
    <row r="184" spans="1:12" ht="15.75">
      <c r="A184" s="869"/>
      <c r="B184" s="866"/>
      <c r="C184" s="867"/>
      <c r="D184" s="866" t="s">
        <v>39</v>
      </c>
      <c r="E184" s="874">
        <v>6550000</v>
      </c>
      <c r="F184" s="873">
        <v>7200000</v>
      </c>
      <c r="G184" s="5"/>
      <c r="H184" s="5"/>
      <c r="I184" s="5"/>
      <c r="J184" s="5"/>
      <c r="K184" s="5"/>
      <c r="L184" s="5"/>
    </row>
    <row r="185" spans="1:12" ht="15.75">
      <c r="A185" s="869" t="s">
        <v>916</v>
      </c>
      <c r="B185" s="871">
        <v>15200000</v>
      </c>
      <c r="C185" s="872">
        <v>11900000</v>
      </c>
      <c r="D185" s="866" t="s">
        <v>42</v>
      </c>
      <c r="E185" s="871">
        <v>12650000</v>
      </c>
      <c r="F185" s="870">
        <v>13300000</v>
      </c>
      <c r="G185" s="5"/>
      <c r="H185" s="5"/>
      <c r="I185" s="5"/>
      <c r="J185" s="5"/>
      <c r="K185" s="5"/>
      <c r="L185" s="5"/>
    </row>
    <row r="186" spans="1:12" ht="15.75">
      <c r="A186" s="869"/>
      <c r="B186" s="868"/>
      <c r="C186" s="867"/>
      <c r="D186" s="866"/>
      <c r="E186" s="866"/>
      <c r="F186" s="865"/>
      <c r="G186" s="5"/>
      <c r="H186" s="5"/>
      <c r="I186" s="5"/>
      <c r="J186" s="5"/>
      <c r="K186" s="5"/>
      <c r="L186" s="5"/>
    </row>
    <row r="187" spans="1:12" ht="16.149999999999999" thickBot="1">
      <c r="A187" s="240" t="s">
        <v>52</v>
      </c>
      <c r="B187" s="863">
        <v>23850000</v>
      </c>
      <c r="C187" s="864">
        <v>25100000</v>
      </c>
      <c r="D187" s="241" t="s">
        <v>44</v>
      </c>
      <c r="E187" s="863">
        <v>23850000</v>
      </c>
      <c r="F187" s="242">
        <v>25100000</v>
      </c>
      <c r="G187" s="5"/>
      <c r="H187" s="5"/>
      <c r="I187" s="5"/>
      <c r="J187" s="5"/>
      <c r="K187" s="5"/>
      <c r="L187" s="5"/>
    </row>
    <row r="188" spans="1:12" ht="15.75">
      <c r="A188" s="5"/>
      <c r="B188" s="5"/>
      <c r="C188" s="5"/>
      <c r="D188" s="862"/>
      <c r="E188" s="5"/>
      <c r="F188" s="5"/>
      <c r="G188" s="5"/>
      <c r="H188" s="5"/>
      <c r="I188" s="5"/>
      <c r="J188" s="5"/>
      <c r="K188" s="5"/>
      <c r="L188" s="5"/>
    </row>
    <row r="189" spans="1:12" ht="16.149999999999999" thickBot="1">
      <c r="A189" s="5"/>
      <c r="B189" s="5"/>
      <c r="C189" s="5"/>
      <c r="D189" s="862"/>
      <c r="E189" s="5"/>
      <c r="F189" s="5"/>
      <c r="G189" s="5"/>
      <c r="H189" s="5"/>
      <c r="I189" s="5"/>
      <c r="J189" s="5"/>
      <c r="K189" s="5"/>
      <c r="L189" s="5"/>
    </row>
    <row r="190" spans="1:12" ht="15.75">
      <c r="A190" s="861" t="s">
        <v>0</v>
      </c>
      <c r="B190" s="243"/>
      <c r="C190" s="243"/>
      <c r="D190" s="244"/>
      <c r="E190" s="5"/>
      <c r="F190" s="861" t="s">
        <v>53</v>
      </c>
      <c r="G190" s="243"/>
      <c r="H190" s="243"/>
      <c r="I190" s="244"/>
      <c r="J190" s="5"/>
      <c r="K190" s="5"/>
      <c r="L190" s="5"/>
    </row>
    <row r="191" spans="1:12" ht="15.75">
      <c r="A191" s="245"/>
      <c r="B191" s="246" t="s">
        <v>3</v>
      </c>
      <c r="C191" s="246" t="s">
        <v>4</v>
      </c>
      <c r="D191" s="247" t="s">
        <v>54</v>
      </c>
      <c r="E191" s="5"/>
      <c r="F191" s="245"/>
      <c r="G191" s="246" t="s">
        <v>3</v>
      </c>
      <c r="H191" s="246" t="s">
        <v>4</v>
      </c>
      <c r="I191" s="247" t="s">
        <v>54</v>
      </c>
      <c r="L191" s="5"/>
    </row>
    <row r="192" spans="1:12" ht="15.75">
      <c r="A192" s="245" t="s">
        <v>55</v>
      </c>
      <c r="B192" s="860">
        <v>10000000</v>
      </c>
      <c r="C192" s="248">
        <v>1000000</v>
      </c>
      <c r="D192" s="249">
        <v>9000000</v>
      </c>
      <c r="E192" s="5"/>
      <c r="F192" s="245" t="s">
        <v>55</v>
      </c>
      <c r="G192" s="860">
        <v>11000000</v>
      </c>
      <c r="H192" s="248">
        <v>1100000</v>
      </c>
      <c r="I192" s="249">
        <v>9900000</v>
      </c>
      <c r="L192" s="5"/>
    </row>
    <row r="193" spans="1:12" ht="15.75">
      <c r="A193" s="245" t="s">
        <v>56</v>
      </c>
      <c r="B193" s="860">
        <v>4000000</v>
      </c>
      <c r="C193" s="248">
        <v>2500000</v>
      </c>
      <c r="D193" s="249">
        <v>1500000</v>
      </c>
      <c r="E193" s="5"/>
      <c r="F193" s="245" t="s">
        <v>56</v>
      </c>
      <c r="G193" s="860">
        <v>4500000</v>
      </c>
      <c r="H193" s="248">
        <v>2750000</v>
      </c>
      <c r="I193" s="249">
        <v>1750000</v>
      </c>
      <c r="L193" s="5"/>
    </row>
    <row r="194" spans="1:12" ht="15.75">
      <c r="A194" s="245" t="s">
        <v>57</v>
      </c>
      <c r="B194" s="859">
        <v>1000000</v>
      </c>
      <c r="C194" s="858">
        <v>700000</v>
      </c>
      <c r="D194" s="249">
        <v>300000</v>
      </c>
      <c r="E194" s="5"/>
      <c r="F194" s="245" t="s">
        <v>57</v>
      </c>
      <c r="G194" s="859">
        <v>1100000</v>
      </c>
      <c r="H194" s="858">
        <v>750000</v>
      </c>
      <c r="I194" s="249">
        <v>350000</v>
      </c>
      <c r="L194" s="5"/>
    </row>
    <row r="195" spans="1:12" ht="15.75">
      <c r="A195" s="245" t="s">
        <v>915</v>
      </c>
      <c r="B195" s="857">
        <v>15000000</v>
      </c>
      <c r="C195" s="250">
        <v>4200000</v>
      </c>
      <c r="D195" s="251">
        <v>10800000</v>
      </c>
      <c r="E195" s="5"/>
      <c r="F195" s="245" t="s">
        <v>58</v>
      </c>
      <c r="G195" s="857">
        <v>16600000</v>
      </c>
      <c r="H195" s="250">
        <v>4600000</v>
      </c>
      <c r="I195" s="251">
        <v>12000000</v>
      </c>
      <c r="L195" s="5"/>
    </row>
    <row r="196" spans="1:12" ht="15.75">
      <c r="A196" s="245"/>
      <c r="B196" s="4"/>
      <c r="C196" s="4"/>
      <c r="D196" s="252"/>
      <c r="E196" s="5"/>
      <c r="F196" s="245"/>
      <c r="G196" s="4"/>
      <c r="H196" s="4"/>
      <c r="I196" s="252"/>
      <c r="L196" s="5"/>
    </row>
    <row r="197" spans="1:12" ht="15.75">
      <c r="A197" s="245"/>
      <c r="B197" s="4"/>
      <c r="C197" s="4"/>
      <c r="D197" s="252"/>
      <c r="E197" s="5"/>
      <c r="F197" s="245"/>
      <c r="G197" s="4"/>
      <c r="H197" s="4"/>
      <c r="I197" s="252"/>
      <c r="L197" s="5"/>
    </row>
    <row r="198" spans="1:12" ht="15.75">
      <c r="A198" s="245"/>
      <c r="B198" s="4" t="s">
        <v>22</v>
      </c>
      <c r="C198" s="4"/>
      <c r="D198" s="249">
        <v>500000</v>
      </c>
      <c r="E198" s="5"/>
      <c r="F198" s="245"/>
      <c r="G198" s="4" t="s">
        <v>22</v>
      </c>
      <c r="H198" s="4"/>
      <c r="I198" s="249">
        <v>500000</v>
      </c>
      <c r="L198" s="5"/>
    </row>
    <row r="199" spans="1:12" ht="15.75">
      <c r="A199" s="245"/>
      <c r="B199" s="4" t="s">
        <v>24</v>
      </c>
      <c r="C199" s="4"/>
      <c r="D199" s="249">
        <v>1500000</v>
      </c>
      <c r="E199" s="5"/>
      <c r="F199" s="245"/>
      <c r="G199" s="4" t="s">
        <v>24</v>
      </c>
      <c r="H199" s="4"/>
      <c r="I199" s="249">
        <v>1500000</v>
      </c>
      <c r="L199" s="5"/>
    </row>
    <row r="200" spans="1:12" ht="15.75">
      <c r="A200" s="245"/>
      <c r="B200" s="4" t="s">
        <v>25</v>
      </c>
      <c r="C200" s="4"/>
      <c r="D200" s="249">
        <v>1000000</v>
      </c>
      <c r="E200" s="5"/>
      <c r="F200" s="245"/>
      <c r="G200" s="4" t="s">
        <v>25</v>
      </c>
      <c r="H200" s="4"/>
      <c r="I200" s="249">
        <v>1000000</v>
      </c>
      <c r="L200" s="5"/>
    </row>
    <row r="201" spans="1:12" ht="15.75">
      <c r="A201" s="245"/>
      <c r="B201" s="4" t="s">
        <v>59</v>
      </c>
      <c r="C201" s="4"/>
      <c r="D201" s="249">
        <v>500000</v>
      </c>
      <c r="E201" s="5"/>
      <c r="F201" s="245"/>
      <c r="G201" s="4" t="s">
        <v>59</v>
      </c>
      <c r="H201" s="4"/>
      <c r="I201" s="249">
        <v>500000</v>
      </c>
      <c r="L201" s="5"/>
    </row>
    <row r="202" spans="1:12" ht="15.75">
      <c r="A202" s="245"/>
      <c r="B202" s="4"/>
      <c r="C202" s="4"/>
      <c r="D202" s="249"/>
      <c r="E202" s="5"/>
      <c r="F202" s="245"/>
      <c r="G202" s="4"/>
      <c r="H202" s="4"/>
      <c r="I202" s="249"/>
      <c r="L202" s="5"/>
    </row>
    <row r="203" spans="1:12" ht="15.75">
      <c r="A203" s="245"/>
      <c r="B203" s="4" t="s">
        <v>60</v>
      </c>
      <c r="C203" s="4"/>
      <c r="D203" s="251">
        <v>7300000</v>
      </c>
      <c r="E203" s="5"/>
      <c r="F203" s="245"/>
      <c r="G203" s="4" t="s">
        <v>60</v>
      </c>
      <c r="H203" s="4"/>
      <c r="I203" s="251">
        <v>8500000</v>
      </c>
      <c r="L203" s="5"/>
    </row>
    <row r="204" spans="1:12" ht="15.75">
      <c r="A204" s="245"/>
      <c r="B204" s="4" t="s">
        <v>61</v>
      </c>
      <c r="C204" s="4"/>
      <c r="D204" s="249">
        <v>1000000</v>
      </c>
      <c r="E204" s="5"/>
      <c r="F204" s="245"/>
      <c r="G204" s="4" t="s">
        <v>61</v>
      </c>
      <c r="H204" s="4"/>
      <c r="I204" s="249">
        <v>1000000</v>
      </c>
      <c r="L204" s="5"/>
    </row>
    <row r="205" spans="1:12" ht="15.75">
      <c r="A205" s="245"/>
      <c r="B205" s="4" t="s">
        <v>62</v>
      </c>
      <c r="C205" s="4"/>
      <c r="D205" s="249">
        <v>100000</v>
      </c>
      <c r="E205" s="5"/>
      <c r="F205" s="245"/>
      <c r="G205" s="4" t="s">
        <v>62</v>
      </c>
      <c r="H205" s="4"/>
      <c r="I205" s="249">
        <v>100000</v>
      </c>
      <c r="L205" s="5"/>
    </row>
    <row r="206" spans="1:12" ht="15.75">
      <c r="A206" s="245"/>
      <c r="B206" s="4" t="s">
        <v>63</v>
      </c>
      <c r="C206" s="4"/>
      <c r="D206" s="249">
        <v>800000</v>
      </c>
      <c r="E206" s="5"/>
      <c r="F206" s="245"/>
      <c r="G206" s="4" t="s">
        <v>63</v>
      </c>
      <c r="H206" s="4"/>
      <c r="I206" s="249">
        <v>800000</v>
      </c>
      <c r="L206" s="5"/>
    </row>
    <row r="207" spans="1:12" ht="15.75">
      <c r="A207" s="245"/>
      <c r="B207" s="4"/>
      <c r="C207" s="4"/>
      <c r="D207" s="252"/>
      <c r="E207" s="5"/>
      <c r="F207" s="245"/>
      <c r="G207" s="4" t="s">
        <v>64</v>
      </c>
      <c r="H207" s="4"/>
      <c r="I207" s="249">
        <v>400000</v>
      </c>
      <c r="J207" s="5"/>
      <c r="K207" s="5"/>
      <c r="L207" s="5"/>
    </row>
    <row r="208" spans="1:12" ht="15.75">
      <c r="A208" s="245"/>
      <c r="B208" s="4" t="s">
        <v>65</v>
      </c>
      <c r="C208" s="4"/>
      <c r="D208" s="251">
        <v>5400000</v>
      </c>
      <c r="E208" s="5"/>
      <c r="F208" s="245"/>
      <c r="G208" s="4" t="s">
        <v>65</v>
      </c>
      <c r="H208" s="4"/>
      <c r="I208" s="251">
        <v>7000000</v>
      </c>
      <c r="J208" s="5"/>
      <c r="K208" s="5"/>
      <c r="L208" s="5"/>
    </row>
    <row r="209" spans="1:12" ht="15.75">
      <c r="A209" s="245"/>
      <c r="B209" s="4" t="s">
        <v>40</v>
      </c>
      <c r="C209" s="4"/>
      <c r="D209" s="249">
        <v>4050000</v>
      </c>
      <c r="E209" s="5"/>
      <c r="F209" s="245"/>
      <c r="G209" s="4" t="s">
        <v>40</v>
      </c>
      <c r="H209" s="4"/>
      <c r="I209" s="249">
        <v>5250000</v>
      </c>
      <c r="J209" s="5"/>
      <c r="K209" s="5"/>
      <c r="L209" s="5"/>
    </row>
    <row r="210" spans="1:12" ht="16.149999999999999" thickBot="1">
      <c r="A210" s="253"/>
      <c r="B210" s="254" t="s">
        <v>43</v>
      </c>
      <c r="C210" s="254"/>
      <c r="D210" s="242">
        <v>1350000</v>
      </c>
      <c r="E210" s="5"/>
      <c r="F210" s="253"/>
      <c r="G210" s="254" t="s">
        <v>43</v>
      </c>
      <c r="H210" s="254"/>
      <c r="I210" s="242">
        <v>1750000</v>
      </c>
      <c r="J210" s="5"/>
      <c r="K210" s="5"/>
      <c r="L210" s="5"/>
    </row>
    <row r="211" spans="1:12" ht="15.75">
      <c r="A211" s="5"/>
      <c r="B211" s="5"/>
      <c r="C211" s="5"/>
      <c r="D211" s="5"/>
      <c r="E211" s="5"/>
      <c r="F211" s="5"/>
      <c r="G211" s="5"/>
      <c r="H211" s="5"/>
      <c r="I211" s="5"/>
      <c r="J211" s="5"/>
      <c r="K211" s="5"/>
      <c r="L211" s="5"/>
    </row>
    <row r="212" spans="1:12" ht="15.75">
      <c r="A212" s="273" t="s">
        <v>914</v>
      </c>
      <c r="B212" s="5"/>
      <c r="C212" s="5"/>
      <c r="D212" s="5"/>
      <c r="E212" s="5"/>
      <c r="F212" s="5"/>
      <c r="G212" s="5"/>
      <c r="H212" s="5"/>
      <c r="I212" s="5"/>
      <c r="J212" s="5"/>
      <c r="K212" s="5"/>
      <c r="L212" s="5"/>
    </row>
    <row r="213" spans="1:12" ht="15.75">
      <c r="A213" s="273" t="s">
        <v>66</v>
      </c>
      <c r="B213" s="856">
        <v>0.75</v>
      </c>
      <c r="C213" s="5"/>
      <c r="D213" s="5"/>
      <c r="E213" s="5"/>
      <c r="F213" s="5"/>
      <c r="G213" s="5"/>
      <c r="H213" s="5"/>
      <c r="I213" s="5"/>
      <c r="J213" s="5"/>
      <c r="K213" s="5"/>
      <c r="L213" s="5"/>
    </row>
    <row r="214" spans="1:12" ht="15.75">
      <c r="A214" s="273" t="s">
        <v>913</v>
      </c>
      <c r="B214" s="273"/>
      <c r="C214" s="5"/>
      <c r="D214" s="5"/>
      <c r="E214" s="5"/>
      <c r="F214" s="5"/>
      <c r="G214" s="5"/>
      <c r="H214" s="5"/>
      <c r="I214" s="5"/>
      <c r="J214" s="5"/>
      <c r="K214" s="5"/>
      <c r="L214" s="5"/>
    </row>
    <row r="215" spans="1:12" ht="15.75">
      <c r="A215" s="995" t="s">
        <v>912</v>
      </c>
      <c r="B215" s="996"/>
      <c r="C215" s="5"/>
      <c r="D215" s="5"/>
      <c r="E215" s="5"/>
      <c r="F215" s="5"/>
      <c r="G215" s="5"/>
      <c r="H215" s="5"/>
      <c r="I215" s="5"/>
      <c r="J215" s="5"/>
      <c r="K215" s="5"/>
      <c r="L215" s="5"/>
    </row>
    <row r="216" spans="1:12" ht="15.75">
      <c r="A216" s="995" t="s">
        <v>911</v>
      </c>
      <c r="B216" s="996"/>
      <c r="C216" s="5"/>
      <c r="D216" s="5"/>
      <c r="E216" s="5"/>
      <c r="F216" s="5"/>
      <c r="G216" s="5"/>
      <c r="H216" s="5"/>
      <c r="I216" s="5"/>
      <c r="J216" s="5"/>
      <c r="K216" s="5"/>
      <c r="L216" s="5"/>
    </row>
    <row r="217" spans="1:12" ht="15.75">
      <c r="A217" s="5"/>
      <c r="B217" s="5"/>
      <c r="C217" s="5"/>
      <c r="D217" s="5"/>
      <c r="E217" s="5"/>
      <c r="F217" s="5"/>
      <c r="G217" s="5"/>
      <c r="H217" s="5"/>
      <c r="I217" s="5"/>
      <c r="J217" s="5"/>
      <c r="K217" s="5"/>
      <c r="L217" s="5"/>
    </row>
    <row r="218" spans="1:12" ht="15.75">
      <c r="A218" s="855"/>
      <c r="B218" s="854"/>
      <c r="C218" s="854"/>
      <c r="D218" s="854"/>
      <c r="E218" s="854"/>
      <c r="F218" s="854"/>
      <c r="G218" s="854"/>
      <c r="H218" s="854"/>
      <c r="I218" s="854"/>
      <c r="J218" s="854"/>
      <c r="K218" s="854"/>
      <c r="L218" s="853"/>
    </row>
    <row r="219" spans="1:12" ht="15.75" customHeight="1">
      <c r="A219" s="967" t="s">
        <v>910</v>
      </c>
      <c r="B219" s="967"/>
      <c r="C219" s="967"/>
      <c r="D219" s="967"/>
      <c r="E219" s="967"/>
      <c r="F219" s="967"/>
      <c r="G219" s="967"/>
      <c r="H219" s="967"/>
      <c r="I219" s="967"/>
      <c r="J219" s="967"/>
      <c r="K219" s="967"/>
      <c r="L219" s="967"/>
    </row>
    <row r="220" spans="1:12" ht="14.65" customHeight="1">
      <c r="A220" s="967"/>
      <c r="B220" s="967"/>
      <c r="C220" s="967"/>
      <c r="D220" s="967"/>
      <c r="E220" s="967"/>
      <c r="F220" s="967"/>
      <c r="G220" s="967"/>
      <c r="H220" s="967"/>
      <c r="I220" s="967"/>
      <c r="J220" s="967"/>
      <c r="K220" s="967"/>
      <c r="L220" s="967"/>
    </row>
    <row r="221" spans="1:12" ht="14.65" customHeight="1">
      <c r="A221" s="967"/>
      <c r="B221" s="967"/>
      <c r="C221" s="967"/>
      <c r="D221" s="967"/>
      <c r="E221" s="967"/>
      <c r="F221" s="967"/>
      <c r="G221" s="967"/>
      <c r="H221" s="967"/>
      <c r="I221" s="967"/>
      <c r="J221" s="967"/>
      <c r="K221" s="967"/>
      <c r="L221" s="967"/>
    </row>
    <row r="222" spans="1:12" ht="14.65" customHeight="1">
      <c r="A222" s="967"/>
      <c r="B222" s="967"/>
      <c r="C222" s="967"/>
      <c r="D222" s="967"/>
      <c r="E222" s="967"/>
      <c r="F222" s="967"/>
      <c r="G222" s="967"/>
      <c r="H222" s="967"/>
      <c r="I222" s="967"/>
      <c r="J222" s="967"/>
      <c r="K222" s="967"/>
      <c r="L222" s="967"/>
    </row>
    <row r="223" spans="1:12">
      <c r="A223" s="967"/>
      <c r="B223" s="967"/>
      <c r="C223" s="967"/>
      <c r="D223" s="967"/>
      <c r="E223" s="967"/>
      <c r="F223" s="967"/>
      <c r="G223" s="967"/>
      <c r="H223" s="967"/>
      <c r="I223" s="967"/>
      <c r="J223" s="967"/>
      <c r="K223" s="967"/>
      <c r="L223" s="967"/>
    </row>
    <row r="225" spans="1:12">
      <c r="C225" s="783"/>
      <c r="D225" s="783"/>
    </row>
    <row r="231" spans="1:12" s="2" customFormat="1">
      <c r="A231" s="161">
        <v>9</v>
      </c>
    </row>
    <row r="233" spans="1:12" ht="16.149999999999999" thickBot="1">
      <c r="A233" s="255" t="s">
        <v>67</v>
      </c>
      <c r="B233" s="5"/>
      <c r="C233" s="5"/>
      <c r="D233" s="5"/>
      <c r="E233" s="5"/>
      <c r="F233" s="5"/>
      <c r="G233" s="5"/>
      <c r="H233" s="5"/>
      <c r="I233" s="5"/>
      <c r="J233" s="5"/>
      <c r="K233" s="5"/>
      <c r="L233" s="5"/>
    </row>
    <row r="234" spans="1:12" ht="15.75">
      <c r="A234" s="256"/>
      <c r="B234" s="257">
        <v>2019</v>
      </c>
      <c r="C234" s="257">
        <v>2020</v>
      </c>
      <c r="D234" s="257">
        <v>2021</v>
      </c>
      <c r="E234" s="258">
        <v>2022</v>
      </c>
      <c r="F234" s="5"/>
      <c r="G234" s="5"/>
      <c r="H234" s="5"/>
      <c r="I234" s="5"/>
      <c r="J234" s="5"/>
      <c r="K234" s="5"/>
      <c r="L234" s="5"/>
    </row>
    <row r="235" spans="1:12" ht="15.75">
      <c r="A235" s="259" t="s">
        <v>1</v>
      </c>
      <c r="B235" s="4"/>
      <c r="C235" s="4"/>
      <c r="D235" s="4"/>
      <c r="E235" s="252"/>
      <c r="F235" s="5"/>
      <c r="G235" s="5"/>
      <c r="H235" s="5"/>
      <c r="I235" s="5"/>
      <c r="J235" s="5"/>
      <c r="K235" s="5"/>
      <c r="L235" s="5"/>
    </row>
    <row r="236" spans="1:12" ht="15.75">
      <c r="A236" s="245" t="s">
        <v>6</v>
      </c>
      <c r="B236" s="4"/>
      <c r="C236" s="4"/>
      <c r="D236" s="4"/>
      <c r="E236" s="252"/>
      <c r="F236" s="5"/>
      <c r="G236" s="5"/>
      <c r="H236" s="5"/>
      <c r="I236" s="5"/>
      <c r="J236" s="5"/>
      <c r="K236" s="5"/>
      <c r="L236" s="5"/>
    </row>
    <row r="237" spans="1:12" ht="15.75">
      <c r="A237" s="245" t="s">
        <v>8</v>
      </c>
      <c r="B237" s="28">
        <v>1.7809439002671415E-2</v>
      </c>
      <c r="C237" s="28">
        <v>1.7809439002671415E-2</v>
      </c>
      <c r="D237" s="28">
        <v>1.7528483786152498E-2</v>
      </c>
      <c r="E237" s="850">
        <v>1.7389776919023364E-2</v>
      </c>
      <c r="F237" s="5"/>
      <c r="G237" s="5"/>
      <c r="H237" s="5"/>
      <c r="I237" s="5"/>
      <c r="J237" s="5"/>
      <c r="K237" s="5"/>
      <c r="L237" s="5"/>
    </row>
    <row r="238" spans="1:12" ht="15.75">
      <c r="A238" s="245" t="s">
        <v>11</v>
      </c>
      <c r="B238" s="28">
        <v>0.3561887800534283</v>
      </c>
      <c r="C238" s="28">
        <v>0.39180765805877116</v>
      </c>
      <c r="D238" s="28">
        <v>0.42068361086765993</v>
      </c>
      <c r="E238" s="850">
        <v>0.45670121201475494</v>
      </c>
      <c r="F238" s="5"/>
      <c r="G238" s="5"/>
      <c r="H238" s="5"/>
      <c r="I238" s="5"/>
      <c r="J238" s="5"/>
      <c r="K238" s="5"/>
      <c r="L238" s="5"/>
    </row>
    <row r="239" spans="1:12" ht="15.75">
      <c r="A239" s="245" t="s">
        <v>14</v>
      </c>
      <c r="B239" s="28">
        <v>2.6714158504007124E-3</v>
      </c>
      <c r="C239" s="28">
        <v>2.6714158504007124E-3</v>
      </c>
      <c r="D239" s="28">
        <v>2.6292725679228747E-3</v>
      </c>
      <c r="E239" s="850">
        <v>2.6348146847005095E-3</v>
      </c>
      <c r="F239" s="5"/>
      <c r="G239" s="5"/>
      <c r="H239" s="5"/>
      <c r="I239" s="5"/>
      <c r="J239" s="5"/>
      <c r="K239" s="5"/>
      <c r="L239" s="5"/>
    </row>
    <row r="240" spans="1:12" ht="15.75">
      <c r="A240" s="245" t="s">
        <v>16</v>
      </c>
      <c r="B240" s="28">
        <v>0.53428317008014248</v>
      </c>
      <c r="C240" s="28">
        <v>0.51647373107747108</v>
      </c>
      <c r="D240" s="28">
        <v>0.49079754601226994</v>
      </c>
      <c r="E240" s="850">
        <v>0.45670121201475494</v>
      </c>
      <c r="F240" s="5"/>
      <c r="G240" s="5"/>
      <c r="H240" s="5"/>
      <c r="I240" s="5"/>
      <c r="J240" s="5"/>
      <c r="K240" s="5"/>
      <c r="L240" s="5"/>
    </row>
    <row r="241" spans="1:12" ht="15.75">
      <c r="A241" s="245" t="s">
        <v>18</v>
      </c>
      <c r="B241" s="28">
        <v>7.123775601068566E-2</v>
      </c>
      <c r="C241" s="28">
        <v>5.3428317008014245E-2</v>
      </c>
      <c r="D241" s="28">
        <v>5.0832602979842247E-2</v>
      </c>
      <c r="E241" s="850">
        <v>4.9183207447742842E-2</v>
      </c>
      <c r="F241" s="5"/>
      <c r="G241" s="5"/>
      <c r="H241" s="5"/>
      <c r="I241" s="5"/>
      <c r="J241" s="5"/>
      <c r="K241" s="5"/>
      <c r="L241" s="5"/>
    </row>
    <row r="242" spans="1:12" ht="15.75">
      <c r="A242" s="245" t="s">
        <v>909</v>
      </c>
      <c r="B242" s="28">
        <v>1.7809439002671415E-2</v>
      </c>
      <c r="C242" s="28">
        <v>1.7809439002671415E-2</v>
      </c>
      <c r="D242" s="28">
        <v>1.7528483786152498E-2</v>
      </c>
      <c r="E242" s="850">
        <v>1.7389776919023364E-2</v>
      </c>
      <c r="F242" s="5"/>
      <c r="G242" s="5"/>
      <c r="H242" s="5"/>
      <c r="I242" s="5"/>
      <c r="J242" s="5"/>
      <c r="K242" s="5"/>
      <c r="L242" s="5"/>
    </row>
    <row r="243" spans="1:12" ht="15.75">
      <c r="A243" s="259" t="s">
        <v>23</v>
      </c>
      <c r="B243" s="852">
        <v>0.99999999999999989</v>
      </c>
      <c r="C243" s="852">
        <v>1</v>
      </c>
      <c r="D243" s="852">
        <v>1</v>
      </c>
      <c r="E243" s="851">
        <v>1</v>
      </c>
      <c r="F243" s="5"/>
      <c r="G243" s="5"/>
      <c r="H243" s="5"/>
      <c r="I243" s="5"/>
      <c r="J243" s="5"/>
      <c r="K243" s="5"/>
      <c r="L243" s="5"/>
    </row>
    <row r="244" spans="1:12" ht="15.75">
      <c r="A244" s="245"/>
      <c r="B244" s="4"/>
      <c r="C244" s="4"/>
      <c r="D244" s="4"/>
      <c r="E244" s="252"/>
      <c r="F244" s="5"/>
      <c r="G244" s="5"/>
      <c r="H244" s="5"/>
      <c r="I244" s="5"/>
      <c r="J244" s="5"/>
      <c r="K244" s="5"/>
      <c r="L244" s="5"/>
    </row>
    <row r="245" spans="1:12" ht="15.75">
      <c r="A245" s="245"/>
      <c r="B245" s="4"/>
      <c r="C245" s="4"/>
      <c r="D245" s="4"/>
      <c r="E245" s="252"/>
      <c r="F245" s="5"/>
      <c r="G245" s="5"/>
      <c r="H245" s="5"/>
      <c r="I245" s="5"/>
      <c r="J245" s="5"/>
      <c r="K245" s="5"/>
      <c r="L245" s="5"/>
    </row>
    <row r="246" spans="1:12" ht="15.75">
      <c r="A246" s="245" t="s">
        <v>28</v>
      </c>
      <c r="B246" s="28">
        <v>0.17241379310344829</v>
      </c>
      <c r="C246" s="28">
        <v>0.18416206261510129</v>
      </c>
      <c r="D246" s="28">
        <v>0.194325689856199</v>
      </c>
      <c r="E246" s="850">
        <v>0.20546537908362442</v>
      </c>
      <c r="F246" s="5"/>
      <c r="G246" s="5"/>
      <c r="H246" s="5"/>
      <c r="I246" s="5"/>
      <c r="J246" s="5"/>
      <c r="K246" s="5"/>
      <c r="L246" s="5"/>
    </row>
    <row r="247" spans="1:12" ht="15.75">
      <c r="A247" s="245" t="s">
        <v>30</v>
      </c>
      <c r="B247" s="28">
        <v>0.86206896551724133</v>
      </c>
      <c r="C247" s="28">
        <v>0.90239410681399634</v>
      </c>
      <c r="D247" s="28">
        <v>0.94247959580256513</v>
      </c>
      <c r="E247" s="850">
        <v>0.98623381960139711</v>
      </c>
      <c r="F247" s="5"/>
      <c r="G247" s="5"/>
      <c r="H247" s="5"/>
      <c r="I247" s="5"/>
      <c r="J247" s="5"/>
      <c r="K247" s="5"/>
      <c r="L247" s="5"/>
    </row>
    <row r="248" spans="1:12" ht="15.75">
      <c r="A248" s="245" t="s">
        <v>31</v>
      </c>
      <c r="B248" s="28">
        <v>-0.17241379310344829</v>
      </c>
      <c r="C248" s="28">
        <v>-0.22099447513812154</v>
      </c>
      <c r="D248" s="28">
        <v>-0.27011270890011657</v>
      </c>
      <c r="E248" s="850">
        <v>-0.32360797205670844</v>
      </c>
      <c r="F248" s="5"/>
      <c r="G248" s="5"/>
      <c r="H248" s="5"/>
      <c r="I248" s="5"/>
      <c r="J248" s="5"/>
      <c r="K248" s="5"/>
      <c r="L248" s="5"/>
    </row>
    <row r="249" spans="1:12" ht="15.75">
      <c r="A249" s="245" t="s">
        <v>33</v>
      </c>
      <c r="B249" s="28">
        <v>0.17241379310344829</v>
      </c>
      <c r="C249" s="28">
        <v>0.17495395948434622</v>
      </c>
      <c r="D249" s="28">
        <v>0.17975126311698406</v>
      </c>
      <c r="E249" s="850">
        <v>0.18491884117526197</v>
      </c>
      <c r="F249" s="5"/>
      <c r="G249" s="5"/>
      <c r="H249" s="5"/>
      <c r="I249" s="5"/>
      <c r="J249" s="5"/>
      <c r="K249" s="5"/>
      <c r="L249" s="5"/>
    </row>
    <row r="250" spans="1:12" ht="15.75">
      <c r="A250" s="245" t="s">
        <v>36</v>
      </c>
      <c r="B250" s="28">
        <v>-3.4482758620689655E-2</v>
      </c>
      <c r="C250" s="28">
        <v>-4.0515653775322284E-2</v>
      </c>
      <c r="D250" s="28">
        <v>-4.6443839875631561E-2</v>
      </c>
      <c r="E250" s="850">
        <v>-5.3010067803575096E-2</v>
      </c>
      <c r="F250" s="5"/>
      <c r="G250" s="5"/>
      <c r="H250" s="5"/>
      <c r="I250" s="5"/>
      <c r="J250" s="5"/>
      <c r="K250" s="5"/>
      <c r="L250" s="5"/>
    </row>
    <row r="251" spans="1:12" ht="15.75">
      <c r="A251" s="245"/>
      <c r="B251" s="28"/>
      <c r="C251" s="4"/>
      <c r="D251" s="4"/>
      <c r="E251" s="252"/>
      <c r="F251" s="5"/>
      <c r="G251" s="5"/>
      <c r="H251" s="5"/>
      <c r="I251" s="5"/>
      <c r="J251" s="5"/>
      <c r="K251" s="5"/>
      <c r="L251" s="5"/>
    </row>
    <row r="252" spans="1:12" ht="16.149999999999999" thickBot="1">
      <c r="A252" s="240" t="s">
        <v>41</v>
      </c>
      <c r="B252" s="849">
        <v>0.99999999999999989</v>
      </c>
      <c r="C252" s="849">
        <v>1.0000000000000002</v>
      </c>
      <c r="D252" s="849">
        <v>0.99999999999999989</v>
      </c>
      <c r="E252" s="848">
        <v>1</v>
      </c>
      <c r="F252" s="5"/>
      <c r="G252" s="5"/>
      <c r="H252" s="5"/>
      <c r="I252" s="5"/>
      <c r="J252" s="5"/>
      <c r="K252" s="5"/>
      <c r="L252" s="5"/>
    </row>
    <row r="255" spans="1:12" ht="15.75" customHeight="1">
      <c r="A255" s="963" t="s">
        <v>908</v>
      </c>
      <c r="B255" s="964"/>
      <c r="C255" s="964"/>
      <c r="D255" s="964"/>
      <c r="E255" s="964"/>
      <c r="F255" s="964"/>
      <c r="G255" s="964"/>
      <c r="H255" s="964"/>
      <c r="I255" s="964"/>
      <c r="J255" s="964"/>
      <c r="K255" s="964"/>
      <c r="L255" s="965"/>
    </row>
    <row r="256" spans="1:12" ht="15.75" customHeight="1">
      <c r="A256" s="969"/>
      <c r="B256" s="970"/>
      <c r="C256" s="970"/>
      <c r="D256" s="970"/>
      <c r="E256" s="970"/>
      <c r="F256" s="970"/>
      <c r="G256" s="970"/>
      <c r="H256" s="970"/>
      <c r="I256" s="970"/>
      <c r="J256" s="970"/>
      <c r="K256" s="970"/>
      <c r="L256" s="971"/>
    </row>
    <row r="258" spans="1:12" s="2" customFormat="1">
      <c r="A258" s="161">
        <v>10</v>
      </c>
    </row>
    <row r="259" spans="1:12">
      <c r="A259" s="847"/>
    </row>
    <row r="260" spans="1:12" s="2" customFormat="1" ht="23.25">
      <c r="A260" s="285" t="s">
        <v>304</v>
      </c>
      <c r="B260" s="286"/>
      <c r="C260" s="284"/>
      <c r="D260" s="284"/>
      <c r="E260" s="284"/>
      <c r="F260" s="284"/>
      <c r="G260" s="284"/>
      <c r="H260" s="284"/>
      <c r="I260" s="284"/>
      <c r="J260" s="284"/>
      <c r="K260" s="284"/>
    </row>
    <row r="261" spans="1:12" ht="23.25">
      <c r="A261" s="285" t="s">
        <v>145</v>
      </c>
      <c r="B261" s="285"/>
      <c r="C261" s="287"/>
      <c r="D261" s="287"/>
      <c r="E261" s="287"/>
      <c r="F261" s="287"/>
      <c r="G261" s="287"/>
      <c r="H261" s="284"/>
      <c r="I261" s="284"/>
      <c r="J261" s="284"/>
      <c r="K261" s="284"/>
    </row>
    <row r="262" spans="1:12" s="10" customFormat="1" ht="19.350000000000001" customHeight="1">
      <c r="A262" s="992" t="s">
        <v>305</v>
      </c>
      <c r="B262" s="992"/>
      <c r="C262" s="992"/>
      <c r="D262" s="992"/>
      <c r="E262" s="992"/>
      <c r="F262" s="992"/>
      <c r="G262" s="992"/>
      <c r="H262" s="191"/>
      <c r="I262" s="191"/>
      <c r="J262" s="191"/>
      <c r="K262" s="191"/>
      <c r="L262" s="284"/>
    </row>
    <row r="263" spans="1:12" s="10" customFormat="1" ht="19.350000000000001" customHeight="1">
      <c r="A263" s="992"/>
      <c r="B263" s="992"/>
      <c r="C263" s="992"/>
      <c r="D263" s="992"/>
      <c r="E263" s="992"/>
      <c r="F263" s="992"/>
      <c r="G263" s="992"/>
      <c r="H263" s="191"/>
      <c r="I263" s="191"/>
      <c r="J263" s="191"/>
      <c r="K263" s="191"/>
      <c r="L263" s="284"/>
    </row>
    <row r="264" spans="1:12" s="10" customFormat="1" ht="19.350000000000001" customHeight="1" thickBot="1">
      <c r="A264" s="288" t="s">
        <v>306</v>
      </c>
      <c r="B264" s="288"/>
      <c r="C264" s="288"/>
      <c r="D264" s="165"/>
      <c r="E264" s="165"/>
      <c r="F264" s="165"/>
      <c r="G264" s="165"/>
      <c r="H264" s="191"/>
      <c r="I264" s="191"/>
      <c r="J264" s="191"/>
      <c r="K264" s="191"/>
      <c r="L264" s="284"/>
    </row>
    <row r="265" spans="1:12" s="10" customFormat="1" ht="19.350000000000001" customHeight="1" thickBot="1">
      <c r="A265" s="289"/>
      <c r="B265" s="290">
        <v>2021</v>
      </c>
      <c r="C265" s="291">
        <v>2022</v>
      </c>
      <c r="D265" s="165"/>
      <c r="E265" s="292"/>
      <c r="F265" s="293">
        <v>2021</v>
      </c>
      <c r="G265" s="294">
        <v>2022</v>
      </c>
      <c r="H265" s="191"/>
      <c r="I265" s="191"/>
      <c r="J265" s="191"/>
      <c r="K265" s="191"/>
      <c r="L265" s="284"/>
    </row>
    <row r="266" spans="1:12" s="10" customFormat="1" ht="19.350000000000001" customHeight="1">
      <c r="A266" s="288" t="s">
        <v>6</v>
      </c>
      <c r="B266" s="295"/>
      <c r="C266" s="295"/>
      <c r="D266" s="165"/>
      <c r="E266" s="288" t="s">
        <v>307</v>
      </c>
      <c r="F266" s="834">
        <v>0</v>
      </c>
      <c r="G266" s="834">
        <v>0</v>
      </c>
      <c r="H266" s="191"/>
      <c r="I266" s="191"/>
      <c r="J266" s="191"/>
      <c r="K266" s="191"/>
      <c r="L266" s="284"/>
    </row>
    <row r="267" spans="1:12" s="10" customFormat="1" ht="19.350000000000001" customHeight="1">
      <c r="A267" s="445" t="s">
        <v>8</v>
      </c>
      <c r="B267" s="834">
        <v>4000000</v>
      </c>
      <c r="C267" s="834">
        <v>4233318</v>
      </c>
      <c r="D267" s="165"/>
      <c r="E267" s="445" t="s">
        <v>9</v>
      </c>
      <c r="F267" s="834">
        <v>588100</v>
      </c>
      <c r="G267" s="834">
        <v>623100</v>
      </c>
      <c r="H267" s="191"/>
      <c r="I267" s="191"/>
      <c r="J267" s="191"/>
      <c r="K267" s="191"/>
      <c r="L267" s="284"/>
    </row>
    <row r="268" spans="1:12" s="10" customFormat="1" ht="19.350000000000001" customHeight="1">
      <c r="A268" s="445" t="s">
        <v>14</v>
      </c>
      <c r="B268" s="834">
        <v>43000</v>
      </c>
      <c r="C268" s="834">
        <v>135000</v>
      </c>
      <c r="D268" s="165"/>
      <c r="E268" s="445" t="s">
        <v>308</v>
      </c>
      <c r="F268" s="834">
        <v>315000</v>
      </c>
      <c r="G268" s="834">
        <v>266500</v>
      </c>
      <c r="H268" s="191"/>
      <c r="I268" s="191"/>
      <c r="J268" s="191"/>
      <c r="K268" s="191"/>
      <c r="L268" s="284"/>
    </row>
    <row r="269" spans="1:12" s="10" customFormat="1" ht="19.350000000000001" customHeight="1">
      <c r="A269" s="445" t="s">
        <v>147</v>
      </c>
      <c r="B269" s="834">
        <v>276000</v>
      </c>
      <c r="C269" s="834">
        <v>450000</v>
      </c>
      <c r="D269" s="165"/>
      <c r="E269" s="445" t="s">
        <v>309</v>
      </c>
      <c r="F269" s="834">
        <v>250000</v>
      </c>
      <c r="G269" s="834">
        <v>145144</v>
      </c>
      <c r="H269" s="191"/>
      <c r="I269" s="191"/>
      <c r="J269" s="191"/>
      <c r="K269" s="191"/>
      <c r="L269" s="284"/>
    </row>
    <row r="270" spans="1:12" s="10" customFormat="1" ht="19.350000000000001" customHeight="1">
      <c r="A270" s="445" t="s">
        <v>148</v>
      </c>
      <c r="B270" s="834">
        <v>133000</v>
      </c>
      <c r="C270" s="834">
        <v>215000</v>
      </c>
      <c r="D270" s="165"/>
      <c r="E270" s="445" t="s">
        <v>154</v>
      </c>
      <c r="F270" s="834">
        <v>2315000</v>
      </c>
      <c r="G270" s="834">
        <v>2150000</v>
      </c>
      <c r="H270" s="298"/>
      <c r="I270" s="191"/>
      <c r="J270" s="298"/>
      <c r="K270" s="191"/>
      <c r="L270" s="284"/>
    </row>
    <row r="271" spans="1:12" s="10" customFormat="1" ht="19.350000000000001" customHeight="1">
      <c r="A271" s="445" t="s">
        <v>310</v>
      </c>
      <c r="B271" s="834">
        <v>234000</v>
      </c>
      <c r="C271" s="834">
        <v>210000</v>
      </c>
      <c r="D271" s="165"/>
      <c r="E271" s="445" t="s">
        <v>311</v>
      </c>
      <c r="F271" s="834">
        <v>600000</v>
      </c>
      <c r="G271" s="834">
        <v>575000</v>
      </c>
      <c r="H271" s="298"/>
      <c r="I271" s="191"/>
      <c r="J271" s="191"/>
      <c r="K271" s="191"/>
      <c r="L271" s="284"/>
    </row>
    <row r="272" spans="1:12" s="10" customFormat="1" ht="19.350000000000001" customHeight="1">
      <c r="A272" s="299" t="s">
        <v>312</v>
      </c>
      <c r="B272" s="834">
        <v>96000</v>
      </c>
      <c r="C272" s="834">
        <v>140000</v>
      </c>
      <c r="D272" s="165"/>
      <c r="E272" s="165"/>
      <c r="F272" s="165"/>
      <c r="G272" s="165"/>
      <c r="H272" s="191"/>
      <c r="I272" s="191"/>
      <c r="J272" s="191"/>
      <c r="K272" s="191"/>
      <c r="L272" s="284"/>
    </row>
    <row r="273" spans="1:12" s="10" customFormat="1" ht="19.350000000000001" customHeight="1">
      <c r="A273" s="445" t="s">
        <v>313</v>
      </c>
      <c r="B273" s="834">
        <v>25000</v>
      </c>
      <c r="C273" s="846">
        <v>25000</v>
      </c>
      <c r="D273" s="165"/>
      <c r="E273" s="165"/>
      <c r="F273" s="165"/>
      <c r="G273" s="165"/>
      <c r="H273" s="191"/>
      <c r="I273" s="191"/>
      <c r="J273" s="191"/>
      <c r="K273" s="191"/>
      <c r="L273" s="284"/>
    </row>
    <row r="274" spans="1:12" s="10" customFormat="1" ht="19.350000000000001" customHeight="1">
      <c r="A274" s="165"/>
      <c r="B274" s="165"/>
      <c r="C274" s="165"/>
      <c r="D274" s="165"/>
      <c r="E274" s="301"/>
      <c r="F274" s="834"/>
      <c r="G274" s="834"/>
      <c r="H274" s="191"/>
      <c r="I274" s="191"/>
      <c r="J274" s="191"/>
      <c r="K274" s="191"/>
      <c r="L274" s="284"/>
    </row>
    <row r="275" spans="1:12" s="10" customFormat="1" ht="19.350000000000001" customHeight="1">
      <c r="A275" s="288" t="s">
        <v>314</v>
      </c>
      <c r="B275" s="302"/>
      <c r="C275" s="302"/>
      <c r="D275" s="165"/>
      <c r="E275" s="288" t="s">
        <v>315</v>
      </c>
      <c r="F275" s="834"/>
      <c r="G275" s="834"/>
      <c r="H275" s="191"/>
      <c r="I275" s="191"/>
      <c r="J275" s="191"/>
      <c r="K275" s="191"/>
      <c r="L275" s="284"/>
    </row>
    <row r="276" spans="1:12" s="10" customFormat="1" ht="19.350000000000001" customHeight="1">
      <c r="A276" s="445" t="s">
        <v>28</v>
      </c>
      <c r="B276" s="834">
        <v>5800000</v>
      </c>
      <c r="C276" s="834">
        <v>5800000</v>
      </c>
      <c r="D276" s="165"/>
      <c r="E276" s="445" t="s">
        <v>316</v>
      </c>
      <c r="F276" s="834">
        <v>11235000</v>
      </c>
      <c r="G276" s="834">
        <v>10660000</v>
      </c>
      <c r="H276" s="298"/>
      <c r="I276" s="191"/>
      <c r="J276" s="298"/>
      <c r="K276" s="191"/>
      <c r="L276" s="284"/>
    </row>
    <row r="277" spans="1:12" s="10" customFormat="1" ht="19.350000000000001" customHeight="1">
      <c r="A277" s="445" t="s">
        <v>30</v>
      </c>
      <c r="B277" s="834">
        <v>13475000</v>
      </c>
      <c r="C277" s="834">
        <v>13475000</v>
      </c>
      <c r="D277" s="165"/>
      <c r="E277" s="445" t="s">
        <v>317</v>
      </c>
      <c r="F277" s="834">
        <v>2500000</v>
      </c>
      <c r="G277" s="834">
        <v>2625000</v>
      </c>
      <c r="H277" s="298"/>
      <c r="I277" s="191"/>
      <c r="J277" s="298"/>
      <c r="K277" s="191"/>
      <c r="L277" s="284"/>
    </row>
    <row r="278" spans="1:12" s="10" customFormat="1" ht="19.350000000000001" customHeight="1">
      <c r="A278" s="445" t="s">
        <v>318</v>
      </c>
      <c r="B278" s="834">
        <v>-4000000</v>
      </c>
      <c r="C278" s="834">
        <v>-4539000</v>
      </c>
      <c r="D278" s="165"/>
      <c r="E278" s="165" t="s">
        <v>319</v>
      </c>
      <c r="F278" s="302">
        <v>2000000</v>
      </c>
      <c r="G278" s="302">
        <v>2000000</v>
      </c>
      <c r="H278" s="298"/>
      <c r="I278" s="191"/>
      <c r="J278" s="298"/>
      <c r="K278" s="191"/>
      <c r="L278" s="284"/>
    </row>
    <row r="279" spans="1:12" s="10" customFormat="1" ht="19.350000000000001" customHeight="1">
      <c r="A279" s="445" t="s">
        <v>33</v>
      </c>
      <c r="B279" s="834">
        <v>6150000</v>
      </c>
      <c r="C279" s="834">
        <v>5685000</v>
      </c>
      <c r="D279" s="165"/>
      <c r="E279" s="445" t="s">
        <v>158</v>
      </c>
      <c r="F279" s="834">
        <v>2428900</v>
      </c>
      <c r="G279" s="834">
        <v>2644474</v>
      </c>
      <c r="H279" s="298"/>
      <c r="I279" s="191"/>
      <c r="J279" s="298"/>
      <c r="K279" s="191"/>
      <c r="L279" s="284"/>
    </row>
    <row r="280" spans="1:12" s="10" customFormat="1" ht="19.350000000000001" customHeight="1">
      <c r="A280" s="445" t="s">
        <v>320</v>
      </c>
      <c r="B280" s="834">
        <v>-4000000</v>
      </c>
      <c r="C280" s="834">
        <v>-4140100</v>
      </c>
      <c r="D280" s="165"/>
      <c r="E280" s="165"/>
      <c r="F280" s="165"/>
      <c r="G280" s="165"/>
      <c r="H280" s="298"/>
      <c r="I280" s="191"/>
      <c r="J280" s="298"/>
      <c r="K280" s="191"/>
      <c r="L280" s="284"/>
    </row>
    <row r="281" spans="1:12" s="10" customFormat="1" ht="19.350000000000001" customHeight="1" thickBot="1">
      <c r="A281" s="445"/>
      <c r="B281" s="834"/>
      <c r="C281" s="834"/>
      <c r="D281" s="165"/>
      <c r="E281" s="165"/>
      <c r="F281" s="165"/>
      <c r="G281" s="165"/>
      <c r="H281" s="191"/>
      <c r="I281" s="191"/>
      <c r="J281" s="191"/>
      <c r="K281" s="191"/>
      <c r="L281" s="284"/>
    </row>
    <row r="282" spans="1:12" s="10" customFormat="1" ht="19.350000000000001" customHeight="1" thickBot="1">
      <c r="A282" s="303" t="s">
        <v>321</v>
      </c>
      <c r="B282" s="839">
        <v>22232000</v>
      </c>
      <c r="C282" s="838">
        <v>21689218</v>
      </c>
      <c r="D282" s="165"/>
      <c r="E282" s="289" t="s">
        <v>322</v>
      </c>
      <c r="F282" s="839">
        <v>22232000</v>
      </c>
      <c r="G282" s="838">
        <v>21689218</v>
      </c>
      <c r="H282" s="191"/>
      <c r="I282" s="191"/>
      <c r="J282" s="191"/>
      <c r="K282" s="191"/>
      <c r="L282" s="284"/>
    </row>
    <row r="283" spans="1:12" s="10" customFormat="1" ht="15.75">
      <c r="A283" s="191"/>
      <c r="B283" s="191"/>
      <c r="C283" s="191"/>
      <c r="D283" s="306"/>
      <c r="E283" s="191"/>
      <c r="F283" s="191"/>
      <c r="G283" s="191"/>
      <c r="H283" s="191"/>
      <c r="I283" s="191"/>
      <c r="J283" s="191"/>
      <c r="K283" s="191"/>
      <c r="L283" s="284"/>
    </row>
    <row r="284" spans="1:12" s="10" customFormat="1" ht="23.65" thickBot="1">
      <c r="A284" s="285"/>
      <c r="B284" s="286"/>
      <c r="C284" s="191"/>
      <c r="D284" s="306"/>
      <c r="E284" s="191"/>
      <c r="F284" s="191"/>
      <c r="G284" s="191"/>
      <c r="H284" s="191"/>
      <c r="I284" s="191"/>
      <c r="J284" s="191"/>
      <c r="K284" s="191"/>
      <c r="L284" s="191"/>
    </row>
    <row r="285" spans="1:12" s="10" customFormat="1" ht="36.4" thickBot="1">
      <c r="A285" s="1025" t="s">
        <v>323</v>
      </c>
      <c r="B285" s="1026"/>
      <c r="C285" s="1026"/>
      <c r="D285" s="1026"/>
      <c r="E285" s="1026"/>
      <c r="F285" s="1027"/>
      <c r="G285" s="191"/>
      <c r="H285" s="191"/>
      <c r="I285" s="191"/>
      <c r="J285" s="191"/>
      <c r="K285" s="191"/>
      <c r="L285" s="191"/>
    </row>
    <row r="286" spans="1:12" s="10" customFormat="1" ht="17.45" customHeight="1">
      <c r="A286" s="307" t="s">
        <v>324</v>
      </c>
      <c r="B286" s="307"/>
      <c r="C286" s="307"/>
      <c r="D286" s="447"/>
      <c r="E286" s="447"/>
      <c r="F286" s="447"/>
      <c r="G286" s="191"/>
      <c r="H286" s="191"/>
      <c r="I286" s="191"/>
      <c r="J286" s="191"/>
      <c r="K286" s="191"/>
      <c r="L286" s="191"/>
    </row>
    <row r="287" spans="1:12" s="10" customFormat="1" ht="36.6" customHeight="1">
      <c r="A287" s="309" t="s">
        <v>325</v>
      </c>
      <c r="B287" s="309" t="s">
        <v>3</v>
      </c>
      <c r="C287" s="310" t="s">
        <v>326</v>
      </c>
      <c r="D287" s="310" t="s">
        <v>327</v>
      </c>
      <c r="E287" s="310" t="s">
        <v>328</v>
      </c>
      <c r="F287" s="310" t="s">
        <v>54</v>
      </c>
      <c r="G287" s="191"/>
      <c r="H287" s="191"/>
      <c r="I287" s="191"/>
      <c r="J287" s="191"/>
      <c r="K287" s="191"/>
      <c r="L287" s="191"/>
    </row>
    <row r="288" spans="1:12" s="10" customFormat="1">
      <c r="A288" s="834" t="s">
        <v>73</v>
      </c>
      <c r="B288" s="834">
        <v>14228156</v>
      </c>
      <c r="C288" s="834">
        <v>0</v>
      </c>
      <c r="D288" s="834">
        <v>2845631</v>
      </c>
      <c r="E288" s="834">
        <v>1422816</v>
      </c>
      <c r="F288" s="834">
        <v>9959709</v>
      </c>
      <c r="G288" s="191"/>
      <c r="H288" s="191"/>
      <c r="I288" s="191"/>
      <c r="J288" s="191"/>
      <c r="K288" s="191"/>
      <c r="L288" s="191"/>
    </row>
    <row r="289" spans="1:12" s="10" customFormat="1">
      <c r="A289" s="834" t="s">
        <v>74</v>
      </c>
      <c r="B289" s="834">
        <v>8910000</v>
      </c>
      <c r="C289" s="834">
        <v>3742200</v>
      </c>
      <c r="D289" s="834">
        <v>2227500</v>
      </c>
      <c r="E289" s="834">
        <v>891000</v>
      </c>
      <c r="F289" s="834">
        <v>2049300</v>
      </c>
      <c r="G289" s="191"/>
      <c r="H289" s="191"/>
      <c r="I289" s="191"/>
      <c r="J289" s="191"/>
      <c r="K289" s="191"/>
      <c r="L289" s="191"/>
    </row>
    <row r="290" spans="1:12" s="10" customFormat="1">
      <c r="A290" s="834" t="s">
        <v>75</v>
      </c>
      <c r="B290" s="834">
        <v>2430000</v>
      </c>
      <c r="C290" s="834">
        <v>461700</v>
      </c>
      <c r="D290" s="834">
        <v>364500</v>
      </c>
      <c r="E290" s="834">
        <v>121500</v>
      </c>
      <c r="F290" s="834">
        <v>1482300</v>
      </c>
      <c r="G290" s="191"/>
      <c r="H290" s="191"/>
      <c r="I290" s="191"/>
      <c r="J290" s="191"/>
      <c r="K290" s="191"/>
      <c r="L290" s="191"/>
    </row>
    <row r="291" spans="1:12" s="10" customFormat="1">
      <c r="A291" s="834" t="s">
        <v>329</v>
      </c>
      <c r="B291" s="834">
        <v>4860000</v>
      </c>
      <c r="C291" s="834">
        <v>1944000</v>
      </c>
      <c r="D291" s="834">
        <v>1944000</v>
      </c>
      <c r="E291" s="834">
        <v>1215000</v>
      </c>
      <c r="F291" s="834">
        <v>-243000</v>
      </c>
      <c r="G291" s="191"/>
      <c r="H291" s="191"/>
      <c r="I291" s="191"/>
      <c r="J291" s="191"/>
      <c r="K291" s="191"/>
      <c r="L291" s="191"/>
    </row>
    <row r="292" spans="1:12" s="10" customFormat="1" ht="14.65" thickBot="1">
      <c r="A292" s="834"/>
      <c r="B292" s="834"/>
      <c r="C292" s="834"/>
      <c r="D292" s="834"/>
      <c r="E292" s="834"/>
      <c r="F292" s="834"/>
      <c r="G292" s="191"/>
      <c r="H292" s="191"/>
      <c r="I292" s="191"/>
      <c r="J292" s="191"/>
      <c r="K292" s="191"/>
      <c r="L292" s="191"/>
    </row>
    <row r="293" spans="1:12" s="10" customFormat="1" ht="14.65" thickBot="1">
      <c r="A293" s="840" t="s">
        <v>175</v>
      </c>
      <c r="B293" s="839">
        <v>30428156</v>
      </c>
      <c r="C293" s="839">
        <v>6147900</v>
      </c>
      <c r="D293" s="839">
        <v>7381631</v>
      </c>
      <c r="E293" s="839">
        <v>3650316</v>
      </c>
      <c r="F293" s="838">
        <v>13248309</v>
      </c>
      <c r="G293" s="191"/>
      <c r="H293" s="191"/>
      <c r="I293" s="191"/>
      <c r="J293" s="191"/>
      <c r="K293" s="191"/>
      <c r="L293" s="191"/>
    </row>
    <row r="294" spans="1:12" s="10" customFormat="1">
      <c r="A294" s="165"/>
      <c r="B294" s="165"/>
      <c r="C294" s="165"/>
      <c r="D294" s="165"/>
      <c r="E294" s="165"/>
      <c r="F294" s="165"/>
      <c r="G294" s="191"/>
      <c r="H294" s="191"/>
      <c r="I294" s="191"/>
      <c r="J294" s="191"/>
      <c r="K294" s="191"/>
      <c r="L294" s="191"/>
    </row>
    <row r="295" spans="1:12" s="10" customFormat="1">
      <c r="A295" s="845" t="s">
        <v>330</v>
      </c>
      <c r="B295" s="302"/>
      <c r="C295" s="302"/>
      <c r="D295" s="302"/>
      <c r="E295" s="302" t="s">
        <v>331</v>
      </c>
      <c r="F295" s="302"/>
      <c r="G295" s="191"/>
      <c r="H295" s="191"/>
      <c r="I295" s="191"/>
      <c r="J295" s="191"/>
      <c r="K295" s="191"/>
      <c r="L295" s="191"/>
    </row>
    <row r="296" spans="1:12" s="10" customFormat="1">
      <c r="A296" s="834" t="s">
        <v>332</v>
      </c>
      <c r="B296" s="834"/>
      <c r="C296" s="834"/>
      <c r="D296" s="834">
        <v>1825689</v>
      </c>
      <c r="E296" s="834">
        <v>164312</v>
      </c>
      <c r="F296" s="834">
        <v>1990001</v>
      </c>
      <c r="G296" s="191"/>
      <c r="H296" s="191"/>
      <c r="I296" s="191"/>
      <c r="J296" s="191"/>
      <c r="K296" s="191"/>
      <c r="L296" s="191"/>
    </row>
    <row r="297" spans="1:12" s="10" customFormat="1">
      <c r="A297" s="834" t="s">
        <v>80</v>
      </c>
      <c r="B297" s="834"/>
      <c r="C297" s="834"/>
      <c r="D297" s="834">
        <v>1521408</v>
      </c>
      <c r="E297" s="834">
        <v>1521408</v>
      </c>
      <c r="F297" s="834">
        <v>3042816</v>
      </c>
      <c r="G297" s="191"/>
      <c r="H297" s="191"/>
      <c r="I297" s="191"/>
      <c r="J297" s="191"/>
      <c r="K297" s="191"/>
      <c r="L297" s="191"/>
    </row>
    <row r="298" spans="1:12" s="10" customFormat="1">
      <c r="A298" s="834" t="s">
        <v>333</v>
      </c>
      <c r="B298" s="834"/>
      <c r="C298" s="834"/>
      <c r="D298" s="834">
        <v>2129971</v>
      </c>
      <c r="E298" s="834">
        <v>1597478</v>
      </c>
      <c r="F298" s="834">
        <v>3727449</v>
      </c>
      <c r="G298" s="191"/>
      <c r="H298" s="191"/>
      <c r="I298" s="191"/>
      <c r="J298" s="191"/>
      <c r="K298" s="191"/>
      <c r="L298" s="191"/>
    </row>
    <row r="299" spans="1:12" s="10" customFormat="1" ht="14.65" thickBot="1">
      <c r="A299" s="834" t="s">
        <v>82</v>
      </c>
      <c r="B299" s="834"/>
      <c r="C299" s="834"/>
      <c r="D299" s="834"/>
      <c r="E299" s="834">
        <v>900225</v>
      </c>
      <c r="F299" s="834">
        <v>900225</v>
      </c>
      <c r="G299" s="191"/>
      <c r="H299" s="191"/>
      <c r="I299" s="191"/>
      <c r="J299" s="191"/>
      <c r="K299" s="191"/>
      <c r="L299" s="191"/>
    </row>
    <row r="300" spans="1:12" s="10" customFormat="1" ht="14.65" thickBot="1">
      <c r="A300" s="840" t="s">
        <v>334</v>
      </c>
      <c r="B300" s="839"/>
      <c r="C300" s="839"/>
      <c r="D300" s="839">
        <v>5477068</v>
      </c>
      <c r="E300" s="839">
        <v>4183423</v>
      </c>
      <c r="F300" s="838">
        <v>9660491</v>
      </c>
      <c r="G300" s="191"/>
      <c r="H300" s="191"/>
      <c r="I300" s="191"/>
      <c r="J300" s="191"/>
      <c r="K300" s="191"/>
      <c r="L300" s="191"/>
    </row>
    <row r="301" spans="1:12" s="10" customFormat="1">
      <c r="A301" s="845"/>
      <c r="B301" s="845"/>
      <c r="C301" s="845"/>
      <c r="D301" s="845"/>
      <c r="E301" s="845"/>
      <c r="F301" s="845"/>
      <c r="G301" s="191"/>
      <c r="H301" s="191"/>
      <c r="I301" s="191"/>
      <c r="J301" s="191"/>
      <c r="K301" s="191"/>
      <c r="L301" s="191"/>
    </row>
    <row r="302" spans="1:12" s="10" customFormat="1">
      <c r="A302" s="845" t="s">
        <v>335</v>
      </c>
      <c r="B302" s="845"/>
      <c r="C302" s="845"/>
      <c r="D302" s="845"/>
      <c r="E302" s="845"/>
      <c r="F302" s="845"/>
      <c r="G302" s="191"/>
      <c r="H302" s="191"/>
      <c r="I302" s="191"/>
      <c r="J302" s="191"/>
      <c r="K302" s="191"/>
      <c r="L302" s="191"/>
    </row>
    <row r="303" spans="1:12" s="10" customFormat="1">
      <c r="A303" s="313" t="s">
        <v>86</v>
      </c>
      <c r="B303" s="302"/>
      <c r="C303" s="302"/>
      <c r="D303" s="302"/>
      <c r="E303" s="302"/>
      <c r="F303" s="314">
        <v>1375000</v>
      </c>
      <c r="G303" s="191"/>
      <c r="H303" s="191"/>
      <c r="I303" s="191"/>
      <c r="J303" s="191"/>
      <c r="K303" s="191"/>
      <c r="L303" s="191"/>
    </row>
    <row r="304" spans="1:12" s="10" customFormat="1">
      <c r="A304" s="834" t="s">
        <v>336</v>
      </c>
      <c r="B304" s="834"/>
      <c r="C304" s="834"/>
      <c r="D304" s="834"/>
      <c r="E304" s="834"/>
      <c r="F304" s="834">
        <v>215600</v>
      </c>
      <c r="G304" s="191"/>
      <c r="H304" s="191"/>
      <c r="I304" s="191"/>
      <c r="J304" s="191"/>
      <c r="K304" s="191"/>
      <c r="L304" s="191"/>
    </row>
    <row r="305" spans="1:12" s="10" customFormat="1">
      <c r="A305" s="834" t="s">
        <v>337</v>
      </c>
      <c r="B305" s="834"/>
      <c r="C305" s="834"/>
      <c r="D305" s="834"/>
      <c r="E305" s="834"/>
      <c r="F305" s="834">
        <v>539000</v>
      </c>
      <c r="G305" s="191"/>
      <c r="H305" s="191"/>
      <c r="I305" s="191"/>
      <c r="J305" s="191"/>
      <c r="K305" s="191"/>
      <c r="L305" s="191"/>
    </row>
    <row r="306" spans="1:12" s="10" customFormat="1">
      <c r="A306" s="834" t="s">
        <v>338</v>
      </c>
      <c r="B306" s="834"/>
      <c r="C306" s="834"/>
      <c r="D306" s="834"/>
      <c r="E306" s="834"/>
      <c r="F306" s="834">
        <v>307500</v>
      </c>
      <c r="G306" s="191"/>
      <c r="H306" s="191"/>
      <c r="I306" s="191"/>
      <c r="J306" s="191"/>
      <c r="K306" s="191"/>
      <c r="L306" s="191"/>
    </row>
    <row r="307" spans="1:12" s="10" customFormat="1">
      <c r="A307" s="844" t="s">
        <v>339</v>
      </c>
      <c r="B307" s="834"/>
      <c r="C307" s="834"/>
      <c r="D307" s="834"/>
      <c r="E307" s="834"/>
      <c r="F307" s="834">
        <v>75000</v>
      </c>
      <c r="G307" s="191"/>
      <c r="H307" s="191"/>
      <c r="I307" s="191"/>
      <c r="J307" s="191"/>
      <c r="K307" s="191"/>
      <c r="L307" s="191"/>
    </row>
    <row r="308" spans="1:12" s="10" customFormat="1">
      <c r="A308" s="834"/>
      <c r="B308" s="834"/>
      <c r="C308" s="834"/>
      <c r="D308" s="834"/>
      <c r="E308" s="834"/>
      <c r="F308" s="834"/>
      <c r="G308" s="191"/>
      <c r="H308" s="191"/>
      <c r="I308" s="191"/>
      <c r="J308" s="191"/>
      <c r="K308" s="191"/>
      <c r="L308" s="191"/>
    </row>
    <row r="309" spans="1:12" s="10" customFormat="1">
      <c r="A309" s="834" t="s">
        <v>340</v>
      </c>
      <c r="B309" s="834"/>
      <c r="C309" s="834"/>
      <c r="D309" s="834"/>
      <c r="E309" s="834"/>
      <c r="F309" s="843">
        <v>1225718</v>
      </c>
      <c r="G309" s="191"/>
      <c r="H309" s="191"/>
      <c r="I309" s="191"/>
      <c r="J309" s="191"/>
      <c r="K309" s="191"/>
      <c r="L309" s="191"/>
    </row>
    <row r="310" spans="1:12" s="10" customFormat="1">
      <c r="A310" s="834" t="s">
        <v>341</v>
      </c>
      <c r="B310" s="834"/>
      <c r="C310" s="834"/>
      <c r="D310" s="834"/>
      <c r="E310" s="834"/>
      <c r="F310" s="834">
        <v>500000</v>
      </c>
      <c r="G310" s="191"/>
      <c r="H310" s="191"/>
      <c r="I310" s="191"/>
      <c r="J310" s="191"/>
      <c r="K310" s="191"/>
      <c r="L310" s="191"/>
    </row>
    <row r="311" spans="1:12" s="10" customFormat="1">
      <c r="A311" s="834" t="s">
        <v>342</v>
      </c>
      <c r="B311" s="834"/>
      <c r="C311" s="834"/>
      <c r="D311" s="834"/>
      <c r="E311" s="834"/>
      <c r="F311" s="842">
        <v>725718</v>
      </c>
      <c r="G311" s="191"/>
      <c r="H311" s="191"/>
      <c r="I311" s="191"/>
      <c r="J311" s="191"/>
      <c r="K311" s="191"/>
      <c r="L311" s="191"/>
    </row>
    <row r="312" spans="1:12" s="10" customFormat="1">
      <c r="A312" s="834" t="s">
        <v>343</v>
      </c>
      <c r="B312" s="834"/>
      <c r="C312" s="834"/>
      <c r="D312" s="834"/>
      <c r="E312" s="834"/>
      <c r="F312" s="841">
        <v>145144</v>
      </c>
      <c r="G312" s="191"/>
      <c r="H312" s="191"/>
      <c r="I312" s="191"/>
      <c r="J312" s="191"/>
      <c r="K312" s="191"/>
      <c r="L312" s="191"/>
    </row>
    <row r="313" spans="1:12" s="10" customFormat="1" ht="14.65" thickBot="1">
      <c r="A313" s="834"/>
      <c r="B313" s="834"/>
      <c r="C313" s="834"/>
      <c r="D313" s="834"/>
      <c r="E313" s="834"/>
      <c r="F313" s="834"/>
      <c r="G313" s="191"/>
      <c r="H313" s="191"/>
      <c r="I313" s="191"/>
      <c r="J313" s="191"/>
      <c r="K313" s="191"/>
      <c r="L313" s="191"/>
    </row>
    <row r="314" spans="1:12" s="10" customFormat="1" ht="14.65" thickBot="1">
      <c r="A314" s="840" t="s">
        <v>92</v>
      </c>
      <c r="B314" s="839"/>
      <c r="C314" s="839"/>
      <c r="D314" s="839"/>
      <c r="E314" s="839"/>
      <c r="F314" s="838">
        <v>580574</v>
      </c>
      <c r="G314" s="191"/>
      <c r="H314" s="191"/>
      <c r="I314" s="191"/>
      <c r="J314" s="191"/>
      <c r="K314" s="191"/>
      <c r="L314" s="191"/>
    </row>
    <row r="315" spans="1:12" s="10" customFormat="1">
      <c r="A315" s="191"/>
      <c r="B315" s="191"/>
      <c r="C315" s="191"/>
      <c r="D315" s="191"/>
      <c r="E315" s="191"/>
      <c r="F315" s="191"/>
      <c r="G315" s="191"/>
      <c r="H315" s="191"/>
      <c r="I315" s="191"/>
      <c r="J315" s="191"/>
      <c r="K315" s="191"/>
      <c r="L315" s="191"/>
    </row>
    <row r="317" spans="1:12">
      <c r="A317" s="987" t="s">
        <v>907</v>
      </c>
      <c r="B317" s="988"/>
      <c r="C317" s="988"/>
      <c r="D317" s="988"/>
      <c r="E317" s="988"/>
      <c r="F317" s="988"/>
      <c r="G317" s="988"/>
      <c r="H317" s="988"/>
      <c r="I317" s="988"/>
      <c r="J317" s="988"/>
      <c r="K317" s="989"/>
    </row>
    <row r="318" spans="1:12">
      <c r="A318" s="983" t="s">
        <v>906</v>
      </c>
      <c r="B318" s="984"/>
      <c r="C318" s="984"/>
      <c r="D318" s="984"/>
      <c r="E318" s="984"/>
      <c r="F318" s="984"/>
      <c r="G318" s="984"/>
      <c r="H318" s="984"/>
      <c r="I318" s="984"/>
      <c r="J318" s="984"/>
      <c r="K318" s="985"/>
    </row>
    <row r="320" spans="1:12">
      <c r="B320" s="837"/>
    </row>
    <row r="321" spans="1:11">
      <c r="B321" s="837"/>
    </row>
    <row r="322" spans="1:11">
      <c r="B322" s="837"/>
    </row>
    <row r="323" spans="1:11">
      <c r="B323" s="788"/>
    </row>
    <row r="325" spans="1:11" s="2" customFormat="1">
      <c r="A325" s="161">
        <v>11</v>
      </c>
    </row>
    <row r="327" spans="1:11" ht="15.75">
      <c r="A327" s="1031" t="s">
        <v>905</v>
      </c>
      <c r="B327" s="1032"/>
      <c r="C327" s="1032"/>
      <c r="D327" s="1032"/>
      <c r="E327" s="1032"/>
      <c r="F327" s="1032"/>
      <c r="G327" s="1032"/>
      <c r="H327" s="443"/>
      <c r="I327" s="443"/>
      <c r="J327" s="443"/>
      <c r="K327" s="443"/>
    </row>
    <row r="328" spans="1:11" ht="15.6" customHeight="1">
      <c r="A328" s="973" t="s">
        <v>904</v>
      </c>
      <c r="B328" s="973"/>
      <c r="C328" s="973"/>
      <c r="D328" s="973"/>
      <c r="E328" s="973"/>
      <c r="F328" s="973"/>
      <c r="G328" s="973"/>
      <c r="H328" s="441"/>
      <c r="I328" s="441"/>
      <c r="J328" s="441"/>
      <c r="K328" s="441"/>
    </row>
    <row r="329" spans="1:11" ht="14.65" customHeight="1">
      <c r="A329" s="973"/>
      <c r="B329" s="973"/>
      <c r="C329" s="973"/>
      <c r="D329" s="973"/>
      <c r="E329" s="973"/>
      <c r="F329" s="973"/>
      <c r="G329" s="973"/>
      <c r="H329" s="441"/>
      <c r="I329" s="441"/>
      <c r="J329" s="441"/>
      <c r="K329" s="441"/>
    </row>
    <row r="330" spans="1:11" ht="14.65" customHeight="1">
      <c r="A330" s="973"/>
      <c r="B330" s="973"/>
      <c r="C330" s="973"/>
      <c r="D330" s="973"/>
      <c r="E330" s="973"/>
      <c r="F330" s="973"/>
      <c r="G330" s="973"/>
      <c r="H330" s="441"/>
      <c r="I330" s="441"/>
      <c r="J330" s="441"/>
      <c r="K330" s="441"/>
    </row>
    <row r="331" spans="1:11" ht="14.65" customHeight="1">
      <c r="A331" s="973"/>
      <c r="B331" s="973"/>
      <c r="C331" s="973"/>
      <c r="D331" s="973"/>
      <c r="E331" s="973"/>
      <c r="F331" s="973"/>
      <c r="G331" s="973"/>
      <c r="H331" s="441"/>
      <c r="I331" s="441"/>
      <c r="J331" s="441"/>
      <c r="K331" s="441"/>
    </row>
    <row r="333" spans="1:11" s="2" customFormat="1">
      <c r="A333" s="161">
        <v>12</v>
      </c>
    </row>
    <row r="335" spans="1:11" ht="15.75">
      <c r="A335" s="1031" t="s">
        <v>903</v>
      </c>
      <c r="B335" s="1032"/>
      <c r="C335" s="1032"/>
      <c r="D335" s="1032"/>
      <c r="E335" s="1032"/>
      <c r="F335" s="1032"/>
      <c r="G335" s="1032"/>
      <c r="H335" s="1032"/>
      <c r="I335" s="1032"/>
      <c r="J335" s="1032"/>
      <c r="K335" s="1032"/>
    </row>
    <row r="336" spans="1:11" ht="15.75">
      <c r="A336" s="972" t="s">
        <v>902</v>
      </c>
      <c r="B336" s="973"/>
      <c r="C336" s="973"/>
      <c r="D336" s="973"/>
      <c r="E336" s="973"/>
      <c r="F336" s="973"/>
      <c r="G336" s="973"/>
      <c r="H336" s="973"/>
      <c r="I336" s="973"/>
      <c r="J336" s="973"/>
      <c r="K336" s="1039"/>
    </row>
    <row r="337" spans="1:11" ht="15.75">
      <c r="A337" s="1040" t="s">
        <v>901</v>
      </c>
      <c r="B337" s="1041"/>
      <c r="C337" s="1041"/>
      <c r="D337" s="1041"/>
      <c r="E337" s="1041"/>
      <c r="F337" s="1041"/>
      <c r="G337" s="1041"/>
      <c r="H337" s="1041"/>
      <c r="I337" s="1041"/>
      <c r="J337" s="1041"/>
      <c r="K337" s="1041"/>
    </row>
    <row r="338" spans="1:11" ht="15.75">
      <c r="A338" s="1040" t="s">
        <v>900</v>
      </c>
      <c r="B338" s="1041"/>
      <c r="C338" s="1041"/>
      <c r="D338" s="1041"/>
      <c r="E338" s="1041"/>
      <c r="F338" s="1041"/>
      <c r="G338" s="1041"/>
      <c r="H338" s="1041"/>
      <c r="I338" s="1041"/>
      <c r="J338" s="1041"/>
      <c r="K338" s="1041"/>
    </row>
    <row r="339" spans="1:11" ht="15.75">
      <c r="A339" s="1040" t="s">
        <v>899</v>
      </c>
      <c r="B339" s="1041"/>
      <c r="C339" s="1041"/>
      <c r="D339" s="1041"/>
      <c r="E339" s="1041"/>
      <c r="F339" s="1041"/>
      <c r="G339" s="1041"/>
      <c r="H339" s="1041"/>
      <c r="I339" s="1041"/>
      <c r="J339" s="1041"/>
      <c r="K339" s="1041"/>
    </row>
    <row r="341" spans="1:11" s="2" customFormat="1">
      <c r="A341" s="161">
        <v>13</v>
      </c>
    </row>
    <row r="343" spans="1:11" ht="46.5">
      <c r="A343" s="285" t="s">
        <v>898</v>
      </c>
      <c r="B343" s="286"/>
      <c r="C343" s="284"/>
      <c r="D343" s="284"/>
      <c r="E343" s="284"/>
      <c r="F343" s="284"/>
      <c r="G343" s="284"/>
      <c r="H343" s="10"/>
      <c r="I343" s="10"/>
      <c r="J343" s="10"/>
      <c r="K343" s="10"/>
    </row>
    <row r="344" spans="1:11" ht="23.25">
      <c r="A344" s="285" t="s">
        <v>145</v>
      </c>
      <c r="B344" s="285"/>
      <c r="C344" s="287"/>
      <c r="D344" s="287"/>
      <c r="E344" s="287"/>
      <c r="F344" s="287"/>
      <c r="G344" s="287"/>
      <c r="H344" s="10"/>
      <c r="I344" s="10"/>
      <c r="J344" s="10"/>
      <c r="K344" s="10"/>
    </row>
    <row r="345" spans="1:11">
      <c r="A345" s="992" t="s">
        <v>897</v>
      </c>
      <c r="B345" s="992"/>
      <c r="C345" s="992"/>
      <c r="D345" s="992"/>
      <c r="E345" s="992"/>
      <c r="F345" s="992"/>
      <c r="G345" s="992"/>
      <c r="H345" s="10"/>
      <c r="I345" s="10"/>
      <c r="J345" s="10"/>
      <c r="K345" s="10"/>
    </row>
    <row r="346" spans="1:11">
      <c r="A346" s="992"/>
      <c r="B346" s="992"/>
      <c r="C346" s="992"/>
      <c r="D346" s="992"/>
      <c r="E346" s="992"/>
      <c r="F346" s="992"/>
      <c r="G346" s="992"/>
      <c r="H346" s="10"/>
      <c r="I346" s="10"/>
      <c r="J346" s="10"/>
      <c r="K346" s="10"/>
    </row>
    <row r="347" spans="1:11" ht="14.65" thickBot="1">
      <c r="A347" s="288" t="s">
        <v>896</v>
      </c>
      <c r="B347" s="288"/>
      <c r="C347" s="288"/>
      <c r="D347" s="165"/>
      <c r="E347" s="165"/>
      <c r="F347" s="165"/>
      <c r="G347" s="165"/>
      <c r="H347" s="10"/>
      <c r="I347" s="10"/>
      <c r="J347" s="10"/>
      <c r="K347" s="10"/>
    </row>
    <row r="348" spans="1:11" ht="14.65" thickBot="1">
      <c r="A348" s="289"/>
      <c r="B348" s="836">
        <v>2021</v>
      </c>
      <c r="C348" s="835">
        <v>2022</v>
      </c>
      <c r="D348" s="165"/>
      <c r="E348" s="292"/>
      <c r="F348" s="293">
        <v>2021</v>
      </c>
      <c r="G348" s="294">
        <v>2022</v>
      </c>
      <c r="H348" s="10"/>
      <c r="I348" s="10"/>
      <c r="J348" s="10"/>
      <c r="K348" s="10"/>
    </row>
    <row r="349" spans="1:11">
      <c r="A349" s="288" t="s">
        <v>6</v>
      </c>
      <c r="B349" s="295"/>
      <c r="C349" s="295"/>
      <c r="D349" s="165"/>
      <c r="E349" s="288" t="s">
        <v>307</v>
      </c>
      <c r="F349" s="834">
        <v>0</v>
      </c>
      <c r="G349" s="834">
        <v>0</v>
      </c>
      <c r="H349" s="10"/>
      <c r="I349" s="10"/>
      <c r="J349" s="10"/>
      <c r="K349" s="10"/>
    </row>
    <row r="350" spans="1:11">
      <c r="A350" s="445" t="s">
        <v>8</v>
      </c>
      <c r="B350" s="829">
        <v>4000000</v>
      </c>
      <c r="C350" s="829">
        <v>953744</v>
      </c>
      <c r="D350" s="165"/>
      <c r="E350" s="445" t="s">
        <v>9</v>
      </c>
      <c r="F350" s="829">
        <v>588100</v>
      </c>
      <c r="G350" s="829">
        <v>623100</v>
      </c>
      <c r="H350" s="10"/>
      <c r="I350" s="10"/>
      <c r="J350" s="10"/>
      <c r="K350" s="10"/>
    </row>
    <row r="351" spans="1:11">
      <c r="A351" s="445" t="s">
        <v>14</v>
      </c>
      <c r="B351" s="829">
        <v>43000</v>
      </c>
      <c r="C351" s="829">
        <v>135000</v>
      </c>
      <c r="D351" s="165"/>
      <c r="E351" s="445" t="s">
        <v>308</v>
      </c>
      <c r="F351" s="829">
        <v>315000</v>
      </c>
      <c r="G351" s="829">
        <v>266500</v>
      </c>
      <c r="H351" s="10"/>
      <c r="I351" s="10"/>
      <c r="J351" s="10"/>
      <c r="K351" s="10"/>
    </row>
    <row r="352" spans="1:11">
      <c r="A352" s="445" t="s">
        <v>147</v>
      </c>
      <c r="B352" s="829">
        <v>276000</v>
      </c>
      <c r="C352" s="829">
        <v>450000</v>
      </c>
      <c r="D352" s="165"/>
      <c r="E352" s="445" t="s">
        <v>309</v>
      </c>
      <c r="F352" s="829">
        <v>250000</v>
      </c>
      <c r="G352" s="829">
        <v>145144</v>
      </c>
      <c r="H352" s="10"/>
      <c r="I352" s="10"/>
      <c r="J352" s="10"/>
      <c r="K352" s="10"/>
    </row>
    <row r="353" spans="1:11">
      <c r="A353" s="445" t="s">
        <v>148</v>
      </c>
      <c r="B353" s="829">
        <v>133000</v>
      </c>
      <c r="C353" s="829">
        <v>215000</v>
      </c>
      <c r="D353" s="165"/>
      <c r="E353" s="445" t="s">
        <v>154</v>
      </c>
      <c r="F353" s="829">
        <v>2315000</v>
      </c>
      <c r="G353" s="829">
        <v>2150000</v>
      </c>
      <c r="H353" s="10"/>
      <c r="I353" s="10"/>
      <c r="J353" s="10"/>
      <c r="K353" s="10"/>
    </row>
    <row r="354" spans="1:11">
      <c r="A354" s="445" t="s">
        <v>310</v>
      </c>
      <c r="B354" s="829">
        <v>234000</v>
      </c>
      <c r="C354" s="829">
        <v>210000</v>
      </c>
      <c r="D354" s="165"/>
      <c r="E354" s="445" t="s">
        <v>311</v>
      </c>
      <c r="F354" s="829">
        <v>600000</v>
      </c>
      <c r="G354" s="829">
        <v>575000</v>
      </c>
      <c r="H354" s="10"/>
      <c r="I354" s="10"/>
      <c r="J354" s="10"/>
      <c r="K354" s="10"/>
    </row>
    <row r="355" spans="1:11">
      <c r="A355" s="299" t="s">
        <v>312</v>
      </c>
      <c r="B355" s="829">
        <v>96000</v>
      </c>
      <c r="C355" s="829">
        <v>140000</v>
      </c>
      <c r="D355" s="165"/>
      <c r="E355" s="165"/>
      <c r="F355" s="463"/>
      <c r="G355" s="463"/>
      <c r="H355" s="10"/>
      <c r="I355" s="10"/>
      <c r="J355" s="10"/>
      <c r="K355" s="10"/>
    </row>
    <row r="356" spans="1:11">
      <c r="A356" s="445" t="s">
        <v>313</v>
      </c>
      <c r="B356" s="829">
        <v>25000</v>
      </c>
      <c r="C356" s="829">
        <v>0</v>
      </c>
      <c r="D356" s="165"/>
      <c r="E356" s="165"/>
      <c r="F356" s="463"/>
      <c r="G356" s="463"/>
      <c r="H356" s="10"/>
      <c r="I356" s="10"/>
      <c r="J356" s="10"/>
      <c r="K356" s="10"/>
    </row>
    <row r="357" spans="1:11">
      <c r="A357" s="165"/>
      <c r="B357" s="463"/>
      <c r="C357" s="463"/>
      <c r="D357" s="165"/>
      <c r="E357" s="301"/>
      <c r="F357" s="829"/>
      <c r="G357" s="829"/>
      <c r="H357" s="10"/>
      <c r="I357" s="10"/>
      <c r="J357" s="10"/>
      <c r="K357" s="10"/>
    </row>
    <row r="358" spans="1:11">
      <c r="A358" s="288" t="s">
        <v>314</v>
      </c>
      <c r="B358" s="463"/>
      <c r="C358" s="463"/>
      <c r="D358" s="165"/>
      <c r="E358" s="288" t="s">
        <v>315</v>
      </c>
      <c r="F358" s="829"/>
      <c r="G358" s="829"/>
      <c r="H358" s="10"/>
      <c r="I358" s="10"/>
      <c r="J358" s="10"/>
      <c r="K358" s="10"/>
    </row>
    <row r="359" spans="1:11">
      <c r="A359" s="445" t="s">
        <v>28</v>
      </c>
      <c r="B359" s="829">
        <v>5800000</v>
      </c>
      <c r="C359" s="829">
        <v>5800000</v>
      </c>
      <c r="D359" s="165"/>
      <c r="E359" s="833" t="s">
        <v>316</v>
      </c>
      <c r="F359" s="832">
        <v>11235000</v>
      </c>
      <c r="G359" s="832">
        <v>16000000</v>
      </c>
      <c r="H359" s="10"/>
      <c r="I359" s="10"/>
      <c r="J359" s="10"/>
      <c r="K359" s="10"/>
    </row>
    <row r="360" spans="1:11">
      <c r="A360" s="445" t="s">
        <v>30</v>
      </c>
      <c r="B360" s="829">
        <v>13475000</v>
      </c>
      <c r="C360" s="829">
        <v>13475000</v>
      </c>
      <c r="D360" s="165"/>
      <c r="E360" s="445" t="s">
        <v>317</v>
      </c>
      <c r="F360" s="829">
        <v>2500000</v>
      </c>
      <c r="G360" s="829">
        <v>2550000</v>
      </c>
      <c r="H360" s="10"/>
      <c r="I360" s="10"/>
      <c r="J360" s="10"/>
      <c r="K360" s="10"/>
    </row>
    <row r="361" spans="1:11">
      <c r="A361" s="445" t="s">
        <v>318</v>
      </c>
      <c r="B361" s="830">
        <v>-4000000</v>
      </c>
      <c r="C361" s="830">
        <v>-4539000</v>
      </c>
      <c r="D361" s="165"/>
      <c r="E361" s="165" t="s">
        <v>319</v>
      </c>
      <c r="F361" s="831">
        <v>2000000</v>
      </c>
      <c r="G361" s="831">
        <v>2075000</v>
      </c>
      <c r="H361" s="10"/>
      <c r="I361" s="10"/>
      <c r="J361" s="10"/>
      <c r="K361" s="10"/>
    </row>
    <row r="362" spans="1:11">
      <c r="A362" s="445" t="s">
        <v>33</v>
      </c>
      <c r="B362" s="829">
        <v>6150000</v>
      </c>
      <c r="C362" s="829">
        <v>5685000</v>
      </c>
      <c r="D362" s="165"/>
      <c r="E362" s="445" t="s">
        <v>158</v>
      </c>
      <c r="F362" s="829">
        <v>2428900</v>
      </c>
      <c r="G362" s="830">
        <v>-6000000</v>
      </c>
      <c r="H362" s="10"/>
      <c r="I362" s="10"/>
      <c r="J362" s="10"/>
      <c r="K362" s="10"/>
    </row>
    <row r="363" spans="1:11">
      <c r="A363" s="445" t="s">
        <v>320</v>
      </c>
      <c r="B363" s="830">
        <v>-4000000</v>
      </c>
      <c r="C363" s="830">
        <v>-4140000</v>
      </c>
      <c r="D363" s="165"/>
      <c r="E363" s="165"/>
      <c r="F363" s="463"/>
      <c r="G363" s="463"/>
      <c r="H363" s="10"/>
      <c r="I363" s="10"/>
      <c r="J363" s="10"/>
      <c r="K363" s="10"/>
    </row>
    <row r="364" spans="1:11" ht="14.65" thickBot="1">
      <c r="A364" s="445"/>
      <c r="B364" s="829"/>
      <c r="C364" s="829"/>
      <c r="D364" s="165"/>
      <c r="E364" s="165"/>
      <c r="F364" s="463"/>
      <c r="G364" s="463"/>
      <c r="H364" s="10"/>
      <c r="I364" s="10"/>
      <c r="J364" s="10"/>
      <c r="K364" s="10"/>
    </row>
    <row r="365" spans="1:11" ht="14.65" thickBot="1">
      <c r="A365" s="303" t="s">
        <v>321</v>
      </c>
      <c r="B365" s="828">
        <f>SUM(B350:B363)</f>
        <v>22232000</v>
      </c>
      <c r="C365" s="828">
        <f>SUM(C350:C363)</f>
        <v>18384744</v>
      </c>
      <c r="D365" s="165"/>
      <c r="E365" s="289" t="s">
        <v>322</v>
      </c>
      <c r="F365" s="828">
        <f>SUM(F350:F364)</f>
        <v>22232000</v>
      </c>
      <c r="G365" s="828">
        <f>SUM(G350:G364)</f>
        <v>18384744</v>
      </c>
      <c r="H365" s="10"/>
      <c r="I365" s="10"/>
      <c r="J365" s="10"/>
      <c r="K365" s="10"/>
    </row>
    <row r="366" spans="1:11">
      <c r="A366" s="191"/>
      <c r="B366" s="191"/>
      <c r="C366" s="191"/>
      <c r="D366" s="306"/>
      <c r="E366" s="191"/>
      <c r="F366" s="191"/>
      <c r="G366" s="191"/>
      <c r="H366" s="10"/>
      <c r="I366" s="10"/>
      <c r="J366" s="10"/>
      <c r="K366" s="10"/>
    </row>
    <row r="367" spans="1:11" ht="23.65" thickBot="1">
      <c r="A367" s="285"/>
      <c r="B367" s="286"/>
      <c r="C367" s="191"/>
      <c r="D367" s="306"/>
      <c r="E367" s="191"/>
      <c r="F367" s="191"/>
      <c r="G367" s="191"/>
      <c r="H367" s="10"/>
      <c r="I367" s="10"/>
      <c r="J367" s="10"/>
      <c r="K367" s="10"/>
    </row>
    <row r="368" spans="1:11" ht="36.4" thickBot="1">
      <c r="A368" s="1025" t="s">
        <v>895</v>
      </c>
      <c r="B368" s="1026"/>
      <c r="C368" s="1026"/>
      <c r="D368" s="1026"/>
      <c r="E368" s="1026"/>
      <c r="F368" s="1027"/>
      <c r="G368" s="191"/>
      <c r="H368" s="10"/>
      <c r="I368" s="10"/>
      <c r="J368" s="10"/>
      <c r="K368" s="10"/>
    </row>
    <row r="369" spans="1:12">
      <c r="A369" s="1028" t="s">
        <v>894</v>
      </c>
      <c r="B369" s="1028"/>
      <c r="C369" s="1028"/>
      <c r="D369" s="1028"/>
      <c r="E369" s="447"/>
      <c r="F369" s="447"/>
      <c r="G369" s="191"/>
      <c r="H369" s="10"/>
      <c r="I369" s="10"/>
      <c r="J369" s="10"/>
      <c r="K369" s="10"/>
    </row>
    <row r="370" spans="1:12">
      <c r="A370" s="309"/>
      <c r="B370" s="309"/>
      <c r="C370" s="310">
        <v>2021</v>
      </c>
      <c r="D370" s="310">
        <v>2022</v>
      </c>
      <c r="E370" s="827"/>
      <c r="F370" s="827"/>
      <c r="G370" s="191"/>
      <c r="H370" s="10"/>
      <c r="I370" s="10"/>
      <c r="J370" s="10"/>
      <c r="K370" s="10"/>
    </row>
    <row r="371" spans="1:12">
      <c r="A371" s="191"/>
      <c r="B371" s="436" t="s">
        <v>92</v>
      </c>
      <c r="C371" s="826">
        <v>100000</v>
      </c>
      <c r="D371" s="825">
        <v>-8428900</v>
      </c>
      <c r="E371" s="191"/>
      <c r="F371" s="191"/>
      <c r="G371" s="191"/>
      <c r="H371" s="10"/>
      <c r="I371" s="10"/>
      <c r="J371" s="10"/>
      <c r="K371" s="10"/>
    </row>
    <row r="372" spans="1:12" ht="21">
      <c r="A372" s="976" t="s">
        <v>893</v>
      </c>
      <c r="B372" s="977"/>
      <c r="C372" s="977"/>
      <c r="D372" s="977"/>
      <c r="E372" s="977"/>
      <c r="F372" s="977"/>
      <c r="G372" s="977"/>
      <c r="H372" s="977"/>
      <c r="I372" s="977"/>
      <c r="J372" s="977"/>
      <c r="K372" s="1042"/>
    </row>
    <row r="373" spans="1:12" ht="23.25">
      <c r="A373" s="1043" t="s">
        <v>892</v>
      </c>
      <c r="B373" s="1044"/>
      <c r="C373" s="1044"/>
      <c r="D373" s="1044"/>
      <c r="E373" s="1044"/>
      <c r="F373" s="1044"/>
      <c r="G373" s="1044"/>
      <c r="H373" s="1044"/>
      <c r="I373" s="1044"/>
      <c r="J373" s="1044"/>
      <c r="K373" s="1045"/>
    </row>
    <row r="374" spans="1:12" ht="23.25">
      <c r="A374" s="1043" t="s">
        <v>891</v>
      </c>
      <c r="B374" s="1044"/>
      <c r="C374" s="1044"/>
      <c r="D374" s="1044"/>
      <c r="E374" s="1044"/>
      <c r="F374" s="1044"/>
      <c r="G374" s="1044"/>
      <c r="H374" s="1044"/>
      <c r="I374" s="1044"/>
      <c r="J374" s="1044"/>
      <c r="K374" s="1045"/>
    </row>
    <row r="375" spans="1:12" ht="23.25">
      <c r="A375" s="1043" t="s">
        <v>890</v>
      </c>
      <c r="B375" s="1044"/>
      <c r="C375" s="1044"/>
      <c r="D375" s="1044"/>
      <c r="E375" s="1044"/>
      <c r="F375" s="1044"/>
      <c r="G375" s="1044"/>
      <c r="H375" s="1044"/>
      <c r="I375" s="1044"/>
      <c r="J375" s="1044"/>
      <c r="K375" s="1045"/>
    </row>
    <row r="376" spans="1:12" ht="23.25">
      <c r="A376" s="1046"/>
      <c r="B376" s="1047"/>
      <c r="C376" s="1047"/>
      <c r="D376" s="1047"/>
      <c r="E376" s="1047"/>
      <c r="F376" s="1047"/>
      <c r="G376" s="1047"/>
      <c r="H376" s="1047"/>
      <c r="I376" s="1047"/>
      <c r="J376" s="1047"/>
      <c r="K376" s="1048"/>
    </row>
    <row r="378" spans="1:12" s="2" customFormat="1">
      <c r="A378" s="161">
        <v>14</v>
      </c>
    </row>
    <row r="380" spans="1:12" ht="15.75">
      <c r="A380" s="287" t="s">
        <v>889</v>
      </c>
      <c r="B380" s="287"/>
      <c r="C380" s="287"/>
      <c r="D380" s="287"/>
      <c r="E380" s="287"/>
      <c r="F380" s="287"/>
      <c r="G380" s="287"/>
      <c r="H380" s="448"/>
      <c r="I380" s="448"/>
      <c r="J380" s="448"/>
      <c r="K380" s="448"/>
      <c r="L380" s="448"/>
    </row>
    <row r="381" spans="1:12" ht="15.75">
      <c r="A381" s="1049" t="s">
        <v>888</v>
      </c>
      <c r="B381" s="1049"/>
      <c r="C381" s="1049"/>
      <c r="D381" s="1049"/>
      <c r="E381" s="1049"/>
      <c r="F381" s="1049"/>
      <c r="G381" s="1049"/>
      <c r="H381" s="448"/>
      <c r="I381" s="448"/>
      <c r="J381" s="448"/>
      <c r="K381" s="448"/>
      <c r="L381" s="448"/>
    </row>
    <row r="382" spans="1:12" ht="15.75">
      <c r="A382" s="1049"/>
      <c r="B382" s="1049"/>
      <c r="C382" s="1049"/>
      <c r="D382" s="1049"/>
      <c r="E382" s="1049"/>
      <c r="F382" s="1049"/>
      <c r="G382" s="1049"/>
      <c r="H382" s="448"/>
      <c r="I382" s="448"/>
      <c r="J382" s="448"/>
      <c r="K382" s="448"/>
      <c r="L382" s="448"/>
    </row>
    <row r="383" spans="1:12" ht="16.149999999999999" thickBot="1">
      <c r="A383" s="814"/>
      <c r="B383" s="814"/>
      <c r="C383" s="814"/>
      <c r="D383" s="805"/>
      <c r="E383" s="805"/>
      <c r="F383" s="805"/>
      <c r="G383" s="805"/>
      <c r="H383" s="448"/>
      <c r="I383" s="448"/>
      <c r="J383" s="448"/>
      <c r="K383" s="448"/>
      <c r="L383" s="448"/>
    </row>
    <row r="384" spans="1:12" ht="16.149999999999999" thickBot="1">
      <c r="A384" s="824"/>
      <c r="B384" s="823">
        <v>2022</v>
      </c>
      <c r="C384" s="822">
        <v>2023</v>
      </c>
      <c r="D384" s="805"/>
      <c r="E384" s="821"/>
      <c r="F384" s="820">
        <v>2022</v>
      </c>
      <c r="G384" s="819">
        <v>2023</v>
      </c>
      <c r="H384" s="448"/>
      <c r="I384" s="448"/>
      <c r="J384" s="448"/>
      <c r="K384" s="448"/>
      <c r="L384" s="448"/>
    </row>
    <row r="385" spans="1:12" ht="15.75">
      <c r="A385" s="814" t="s">
        <v>6</v>
      </c>
      <c r="B385" s="818"/>
      <c r="C385" s="818"/>
      <c r="D385" s="805"/>
      <c r="E385" s="814" t="s">
        <v>307</v>
      </c>
      <c r="F385" s="817">
        <v>0</v>
      </c>
      <c r="G385" s="817">
        <v>0</v>
      </c>
      <c r="H385" s="448"/>
      <c r="I385" s="448"/>
      <c r="J385" s="448"/>
      <c r="K385" s="448"/>
      <c r="L385" s="448"/>
    </row>
    <row r="386" spans="1:12" ht="15.75">
      <c r="A386" s="809" t="s">
        <v>8</v>
      </c>
      <c r="B386" s="808">
        <v>4000000</v>
      </c>
      <c r="C386" s="808">
        <v>953744</v>
      </c>
      <c r="D386" s="805"/>
      <c r="E386" s="809" t="s">
        <v>9</v>
      </c>
      <c r="F386" s="808">
        <v>588100</v>
      </c>
      <c r="G386" s="808">
        <v>623100</v>
      </c>
      <c r="H386" s="448"/>
      <c r="I386" s="448"/>
      <c r="J386" s="448"/>
      <c r="K386" s="448"/>
      <c r="L386" s="448"/>
    </row>
    <row r="387" spans="1:12" ht="15.75">
      <c r="A387" s="809" t="s">
        <v>14</v>
      </c>
      <c r="B387" s="808">
        <v>43000</v>
      </c>
      <c r="C387" s="808">
        <v>135000</v>
      </c>
      <c r="D387" s="805"/>
      <c r="E387" s="809" t="s">
        <v>308</v>
      </c>
      <c r="F387" s="808">
        <v>315000</v>
      </c>
      <c r="G387" s="808">
        <v>266500</v>
      </c>
      <c r="H387" s="448"/>
      <c r="I387" s="448"/>
      <c r="J387" s="448"/>
      <c r="K387" s="448"/>
      <c r="L387" s="448"/>
    </row>
    <row r="388" spans="1:12" ht="15.75">
      <c r="A388" s="809" t="s">
        <v>147</v>
      </c>
      <c r="B388" s="808">
        <v>276000</v>
      </c>
      <c r="C388" s="808">
        <v>450000</v>
      </c>
      <c r="D388" s="805"/>
      <c r="E388" s="809" t="s">
        <v>309</v>
      </c>
      <c r="F388" s="808">
        <v>250000</v>
      </c>
      <c r="G388" s="808">
        <v>350000</v>
      </c>
      <c r="H388" s="448"/>
      <c r="I388" s="448"/>
      <c r="J388" s="448"/>
      <c r="K388" s="448"/>
      <c r="L388" s="448"/>
    </row>
    <row r="389" spans="1:12" ht="15.75">
      <c r="A389" s="809" t="s">
        <v>148</v>
      </c>
      <c r="B389" s="808">
        <v>133000</v>
      </c>
      <c r="C389" s="808">
        <v>215000</v>
      </c>
      <c r="D389" s="805"/>
      <c r="E389" s="809" t="s">
        <v>154</v>
      </c>
      <c r="F389" s="808">
        <v>0</v>
      </c>
      <c r="G389" s="808">
        <v>0</v>
      </c>
      <c r="H389" s="448"/>
      <c r="I389" s="448"/>
      <c r="J389" s="448"/>
      <c r="K389" s="448"/>
      <c r="L389" s="448"/>
    </row>
    <row r="390" spans="1:12" ht="15.75">
      <c r="A390" s="809" t="s">
        <v>310</v>
      </c>
      <c r="B390" s="808">
        <v>234000</v>
      </c>
      <c r="C390" s="808">
        <v>210000</v>
      </c>
      <c r="D390" s="805"/>
      <c r="E390" s="809" t="s">
        <v>311</v>
      </c>
      <c r="F390" s="808">
        <v>600000</v>
      </c>
      <c r="G390" s="808">
        <v>675000</v>
      </c>
      <c r="H390" s="448"/>
      <c r="I390" s="448"/>
      <c r="J390" s="448"/>
      <c r="K390" s="448"/>
      <c r="L390" s="448"/>
    </row>
    <row r="391" spans="1:12" ht="15.75">
      <c r="A391" s="816" t="s">
        <v>312</v>
      </c>
      <c r="B391" s="808">
        <v>96000</v>
      </c>
      <c r="C391" s="808">
        <v>140000</v>
      </c>
      <c r="D391" s="805"/>
      <c r="E391" s="805"/>
      <c r="F391" s="807"/>
      <c r="G391" s="807"/>
      <c r="H391" s="448"/>
      <c r="I391" s="448"/>
      <c r="J391" s="448"/>
      <c r="K391" s="448"/>
      <c r="L391" s="448"/>
    </row>
    <row r="392" spans="1:12" ht="15.75">
      <c r="A392" s="809" t="s">
        <v>313</v>
      </c>
      <c r="B392" s="808">
        <v>25000</v>
      </c>
      <c r="C392" s="808">
        <v>0</v>
      </c>
      <c r="D392" s="805"/>
      <c r="E392" s="805"/>
      <c r="F392" s="807"/>
      <c r="G392" s="807"/>
      <c r="H392" s="448"/>
      <c r="I392" s="448"/>
      <c r="J392" s="448"/>
      <c r="K392" s="448"/>
      <c r="L392" s="448"/>
    </row>
    <row r="393" spans="1:12" ht="15.75">
      <c r="A393" s="805"/>
      <c r="B393" s="807"/>
      <c r="C393" s="807"/>
      <c r="D393" s="805"/>
      <c r="E393" s="815"/>
      <c r="F393" s="808"/>
      <c r="G393" s="808"/>
      <c r="H393" s="448"/>
      <c r="I393" s="448"/>
      <c r="J393" s="448"/>
      <c r="K393" s="448"/>
      <c r="L393" s="448"/>
    </row>
    <row r="394" spans="1:12" ht="15.75">
      <c r="A394" s="814" t="s">
        <v>314</v>
      </c>
      <c r="B394" s="807"/>
      <c r="C394" s="807"/>
      <c r="D394" s="805"/>
      <c r="E394" s="814" t="s">
        <v>315</v>
      </c>
      <c r="F394" s="808"/>
      <c r="G394" s="808"/>
      <c r="H394" s="448"/>
      <c r="I394" s="448"/>
      <c r="J394" s="448"/>
      <c r="K394" s="448"/>
      <c r="L394" s="448"/>
    </row>
    <row r="395" spans="1:12" ht="15.75">
      <c r="A395" s="809" t="s">
        <v>28</v>
      </c>
      <c r="B395" s="808">
        <v>5800000</v>
      </c>
      <c r="C395" s="808">
        <v>5846256</v>
      </c>
      <c r="D395" s="805"/>
      <c r="E395" s="813" t="s">
        <v>316</v>
      </c>
      <c r="F395" s="812">
        <v>11235000</v>
      </c>
      <c r="G395" s="812">
        <v>10287500</v>
      </c>
      <c r="H395" s="448"/>
      <c r="I395" s="448"/>
      <c r="J395" s="448"/>
      <c r="K395" s="448"/>
      <c r="L395" s="448"/>
    </row>
    <row r="396" spans="1:12" ht="15.75">
      <c r="A396" s="809" t="s">
        <v>30</v>
      </c>
      <c r="B396" s="808">
        <v>12475000</v>
      </c>
      <c r="C396" s="808">
        <v>16475000</v>
      </c>
      <c r="D396" s="805"/>
      <c r="E396" s="809" t="s">
        <v>317</v>
      </c>
      <c r="F396" s="808">
        <v>2500000</v>
      </c>
      <c r="G396" s="808">
        <v>2500000</v>
      </c>
      <c r="H396" s="448"/>
      <c r="I396" s="448"/>
      <c r="J396" s="448"/>
      <c r="K396" s="448"/>
      <c r="L396" s="448"/>
    </row>
    <row r="397" spans="1:12" ht="15.75">
      <c r="A397" s="809" t="s">
        <v>318</v>
      </c>
      <c r="B397" s="810">
        <v>-4157500</v>
      </c>
      <c r="C397" s="810">
        <v>-4539000</v>
      </c>
      <c r="D397" s="805"/>
      <c r="E397" s="805" t="s">
        <v>319</v>
      </c>
      <c r="F397" s="807">
        <v>2000000</v>
      </c>
      <c r="G397" s="807">
        <v>2000000</v>
      </c>
      <c r="H397" s="448"/>
      <c r="I397" s="448"/>
      <c r="J397" s="448"/>
      <c r="K397" s="448"/>
      <c r="L397" s="448"/>
    </row>
    <row r="398" spans="1:12" ht="15.75">
      <c r="A398" s="809" t="s">
        <v>33</v>
      </c>
      <c r="B398" s="808">
        <v>5150000</v>
      </c>
      <c r="C398" s="808">
        <v>6685000</v>
      </c>
      <c r="D398" s="805"/>
      <c r="E398" s="809" t="s">
        <v>158</v>
      </c>
      <c r="F398" s="808">
        <v>2428900</v>
      </c>
      <c r="G398" s="811">
        <v>5728900</v>
      </c>
      <c r="H398" s="448"/>
      <c r="I398" s="448"/>
      <c r="J398" s="448"/>
      <c r="K398" s="448"/>
      <c r="L398" s="448"/>
    </row>
    <row r="399" spans="1:12" ht="15.75">
      <c r="A399" s="809" t="s">
        <v>320</v>
      </c>
      <c r="B399" s="810">
        <v>-4157500</v>
      </c>
      <c r="C399" s="810">
        <v>-4140000</v>
      </c>
      <c r="D399" s="805"/>
      <c r="E399" s="805"/>
      <c r="F399" s="807"/>
      <c r="G399" s="807"/>
      <c r="H399" s="448"/>
      <c r="I399" s="448"/>
      <c r="J399" s="448"/>
      <c r="K399" s="448"/>
      <c r="L399" s="448"/>
    </row>
    <row r="400" spans="1:12" ht="15.75">
      <c r="A400" s="809"/>
      <c r="B400" s="808"/>
      <c r="C400" s="808"/>
      <c r="D400" s="805"/>
      <c r="E400" s="805"/>
      <c r="F400" s="807"/>
      <c r="G400" s="807"/>
      <c r="H400" s="448"/>
      <c r="I400" s="448"/>
      <c r="J400" s="448"/>
      <c r="K400" s="448"/>
      <c r="L400" s="448"/>
    </row>
    <row r="401" spans="1:12" ht="47.25">
      <c r="A401" s="806" t="s">
        <v>321</v>
      </c>
      <c r="B401" s="803">
        <f>SUM(B386:B399)</f>
        <v>19917000</v>
      </c>
      <c r="C401" s="802">
        <f>SUM(C386:C399)</f>
        <v>22431000</v>
      </c>
      <c r="D401" s="805"/>
      <c r="E401" s="804" t="s">
        <v>322</v>
      </c>
      <c r="F401" s="803">
        <f>SUM(F386:F400)</f>
        <v>19917000</v>
      </c>
      <c r="G401" s="802">
        <f>SUM(G386:G400)</f>
        <v>22431000</v>
      </c>
      <c r="H401" s="448"/>
      <c r="I401" s="448"/>
      <c r="J401" s="448"/>
      <c r="K401" s="448"/>
      <c r="L401" s="448"/>
    </row>
    <row r="402" spans="1:12" ht="15.75">
      <c r="A402" s="560"/>
      <c r="B402" s="560"/>
      <c r="C402" s="560"/>
      <c r="D402" s="560"/>
      <c r="E402" s="560"/>
      <c r="F402" s="560"/>
      <c r="G402" s="560"/>
      <c r="H402" s="560"/>
      <c r="I402" s="560"/>
      <c r="J402" s="560"/>
      <c r="K402" s="560"/>
      <c r="L402" s="560"/>
    </row>
    <row r="403" spans="1:12" ht="15.75">
      <c r="A403" s="560"/>
      <c r="B403" s="560"/>
      <c r="C403" s="560"/>
      <c r="D403" s="560"/>
      <c r="E403" s="560"/>
      <c r="F403" s="560"/>
      <c r="G403" s="560"/>
      <c r="H403" s="560"/>
      <c r="I403" s="560"/>
      <c r="J403" s="560"/>
      <c r="K403" s="560"/>
      <c r="L403" s="560"/>
    </row>
    <row r="404" spans="1:12" ht="16.149999999999999" thickBot="1">
      <c r="A404" s="1050" t="s">
        <v>887</v>
      </c>
      <c r="B404" s="1049"/>
      <c r="C404" s="1049"/>
      <c r="D404" s="1049"/>
      <c r="E404" s="1049"/>
      <c r="F404" s="1049"/>
      <c r="G404" s="1049"/>
      <c r="H404" s="1049"/>
      <c r="I404" s="1049"/>
      <c r="J404" s="1049"/>
      <c r="K404" s="1049"/>
      <c r="L404" s="1049"/>
    </row>
    <row r="405" spans="1:12" ht="15.75">
      <c r="A405" s="1051"/>
      <c r="B405" s="1051"/>
      <c r="C405" s="1051"/>
      <c r="D405" s="1051"/>
      <c r="E405" s="801"/>
      <c r="F405" s="801"/>
      <c r="G405" s="448"/>
      <c r="H405" s="448"/>
      <c r="I405" s="448"/>
      <c r="J405" s="448"/>
      <c r="K405" s="448"/>
      <c r="L405" s="448"/>
    </row>
    <row r="406" spans="1:12" ht="15.75">
      <c r="A406" s="800"/>
      <c r="B406" s="800"/>
      <c r="C406" s="799">
        <v>2022</v>
      </c>
      <c r="D406" s="799">
        <v>2023</v>
      </c>
      <c r="E406" s="798"/>
      <c r="F406" s="798"/>
      <c r="G406" s="448"/>
      <c r="H406" s="448"/>
      <c r="I406" s="448"/>
      <c r="J406" s="448"/>
      <c r="K406" s="448"/>
      <c r="L406" s="448"/>
    </row>
    <row r="407" spans="1:12" ht="15.75">
      <c r="A407" s="448"/>
      <c r="B407" s="374" t="s">
        <v>3</v>
      </c>
      <c r="C407" s="797">
        <v>20000000</v>
      </c>
      <c r="D407" s="797">
        <v>27000000</v>
      </c>
      <c r="E407" s="448"/>
      <c r="F407" s="448"/>
      <c r="G407" s="448"/>
      <c r="H407" s="448"/>
      <c r="I407" s="448"/>
      <c r="J407" s="448"/>
      <c r="K407" s="448"/>
      <c r="L407" s="448"/>
    </row>
    <row r="408" spans="1:12" ht="15.75">
      <c r="A408" s="448"/>
      <c r="B408" s="374" t="s">
        <v>92</v>
      </c>
      <c r="C408" s="797">
        <v>2000000</v>
      </c>
      <c r="D408" s="797">
        <v>3300000</v>
      </c>
      <c r="E408" s="448"/>
      <c r="F408" s="448"/>
      <c r="G408" s="448"/>
      <c r="H408" s="448"/>
      <c r="I408" s="448"/>
      <c r="J408" s="448"/>
      <c r="K408" s="448"/>
      <c r="L408" s="448"/>
    </row>
    <row r="409" spans="1:12" ht="15.75">
      <c r="A409" s="1031" t="str">
        <f>"Question 2 - Points "&amp;SUM(L410:L413)</f>
        <v>Question 2 - Points 6</v>
      </c>
      <c r="B409" s="1032"/>
      <c r="C409" s="1032"/>
      <c r="D409" s="1032"/>
      <c r="E409" s="1032"/>
      <c r="F409" s="1032"/>
      <c r="G409" s="1032"/>
      <c r="H409" s="1032"/>
      <c r="I409" s="1032"/>
      <c r="J409" s="1032"/>
      <c r="K409" s="1052"/>
      <c r="L409" s="549" t="s">
        <v>635</v>
      </c>
    </row>
    <row r="410" spans="1:12" ht="36.4" customHeight="1" thickBot="1">
      <c r="A410" s="1033" t="s">
        <v>886</v>
      </c>
      <c r="B410" s="1034"/>
      <c r="C410" s="1034"/>
      <c r="D410" s="1034"/>
      <c r="E410" s="1034"/>
      <c r="F410" s="1034"/>
      <c r="G410" s="1034"/>
      <c r="H410" s="1034"/>
      <c r="I410" s="1034"/>
      <c r="J410" s="1034"/>
      <c r="K410" s="1035"/>
      <c r="L410" s="551"/>
    </row>
    <row r="411" spans="1:12" ht="33.4" customHeight="1" thickBot="1">
      <c r="A411" s="1036" t="s">
        <v>885</v>
      </c>
      <c r="B411" s="1037"/>
      <c r="C411" s="1037"/>
      <c r="D411" s="1037"/>
      <c r="E411" s="1037"/>
      <c r="F411" s="1037"/>
      <c r="G411" s="1037"/>
      <c r="H411" s="1037"/>
      <c r="I411" s="1037"/>
      <c r="J411" s="1037"/>
      <c r="K411" s="1038"/>
      <c r="L411" s="796">
        <v>2</v>
      </c>
    </row>
    <row r="412" spans="1:12" ht="16.149999999999999" thickBot="1">
      <c r="A412" s="1036" t="s">
        <v>884</v>
      </c>
      <c r="B412" s="1037"/>
      <c r="C412" s="1037"/>
      <c r="D412" s="1037"/>
      <c r="E412" s="1037"/>
      <c r="F412" s="1037"/>
      <c r="G412" s="1037"/>
      <c r="H412" s="1037"/>
      <c r="I412" s="1037"/>
      <c r="J412" s="1037"/>
      <c r="K412" s="1038"/>
      <c r="L412" s="796">
        <v>2</v>
      </c>
    </row>
    <row r="413" spans="1:12" ht="16.149999999999999" thickBot="1">
      <c r="A413" s="1022" t="s">
        <v>883</v>
      </c>
      <c r="B413" s="1023"/>
      <c r="C413" s="1023"/>
      <c r="D413" s="1023"/>
      <c r="E413" s="1023"/>
      <c r="F413" s="1023"/>
      <c r="G413" s="1023"/>
      <c r="H413" s="1023"/>
      <c r="I413" s="1023"/>
      <c r="J413" s="1023"/>
      <c r="K413" s="1024"/>
      <c r="L413" s="795">
        <v>2</v>
      </c>
    </row>
    <row r="415" spans="1:12" s="2" customFormat="1">
      <c r="A415" s="164">
        <v>15</v>
      </c>
    </row>
    <row r="416" spans="1:12" ht="14.65" thickBot="1"/>
    <row r="417" spans="1:21" ht="18.399999999999999" thickBot="1">
      <c r="A417" s="686" t="s">
        <v>882</v>
      </c>
      <c r="B417" s="685"/>
      <c r="C417" s="685"/>
      <c r="D417" s="685"/>
      <c r="E417" s="685"/>
      <c r="F417" s="685"/>
      <c r="G417" s="685"/>
      <c r="H417" s="685"/>
      <c r="I417" s="685"/>
      <c r="J417" s="685"/>
      <c r="K417" s="685"/>
      <c r="L417" s="685"/>
      <c r="M417" s="685"/>
      <c r="N417" s="685"/>
      <c r="O417" s="685"/>
      <c r="P417" s="685"/>
      <c r="Q417" s="685"/>
      <c r="R417" s="685"/>
      <c r="S417" s="685"/>
      <c r="T417" s="685"/>
      <c r="U417" s="687"/>
    </row>
    <row r="418" spans="1:21" ht="18">
      <c r="A418" s="684"/>
      <c r="B418" s="684"/>
      <c r="C418" s="684"/>
      <c r="D418" s="684"/>
      <c r="E418" s="684"/>
      <c r="F418" s="684"/>
      <c r="G418" s="684"/>
      <c r="H418" s="684"/>
      <c r="I418" s="684"/>
      <c r="J418" s="684"/>
      <c r="K418" s="684"/>
      <c r="L418" s="684"/>
      <c r="M418" s="684"/>
      <c r="N418" s="684"/>
      <c r="O418" s="684"/>
      <c r="P418" s="684"/>
      <c r="Q418" s="684"/>
      <c r="R418" s="684"/>
      <c r="S418" s="684"/>
      <c r="T418" s="684"/>
      <c r="U418" s="687"/>
    </row>
    <row r="419" spans="1:21" ht="18">
      <c r="A419" s="684" t="s">
        <v>881</v>
      </c>
      <c r="B419" s="684"/>
      <c r="C419" s="684"/>
      <c r="D419" s="684"/>
      <c r="E419" s="684"/>
      <c r="F419" s="684"/>
      <c r="G419" s="684"/>
      <c r="H419" s="684"/>
      <c r="I419" s="684"/>
      <c r="J419" s="684"/>
      <c r="K419" s="684"/>
      <c r="L419" s="684"/>
      <c r="M419" s="684"/>
      <c r="N419" s="684"/>
      <c r="O419" s="684"/>
      <c r="P419" s="684"/>
      <c r="Q419" s="684"/>
      <c r="R419" s="684"/>
      <c r="S419" s="684"/>
      <c r="T419" s="684"/>
      <c r="U419" s="687"/>
    </row>
    <row r="420" spans="1:21" ht="18">
      <c r="A420" s="684"/>
      <c r="B420" s="684"/>
      <c r="C420" s="684"/>
      <c r="D420" s="684"/>
      <c r="E420" s="684"/>
      <c r="F420" s="684"/>
      <c r="G420" s="684"/>
      <c r="H420" s="684"/>
      <c r="I420" s="684"/>
      <c r="J420" s="684"/>
      <c r="K420" s="684"/>
      <c r="L420" s="684"/>
      <c r="M420" s="684"/>
      <c r="N420" s="684"/>
      <c r="O420" s="684"/>
      <c r="P420" s="684"/>
      <c r="Q420" s="684"/>
      <c r="R420" s="684"/>
      <c r="S420" s="684"/>
      <c r="T420" s="684"/>
      <c r="U420" s="687"/>
    </row>
    <row r="421" spans="1:21" ht="21">
      <c r="A421" s="690" t="s">
        <v>145</v>
      </c>
      <c r="B421" s="691"/>
      <c r="C421" s="691"/>
      <c r="D421" s="691"/>
      <c r="E421" s="691"/>
      <c r="F421" s="692">
        <v>44926</v>
      </c>
      <c r="G421" s="692">
        <v>45291</v>
      </c>
      <c r="H421" s="691"/>
      <c r="I421" s="691"/>
      <c r="J421" s="691"/>
      <c r="K421" s="691"/>
      <c r="L421" s="691"/>
      <c r="M421" s="692">
        <v>44926</v>
      </c>
      <c r="N421" s="693">
        <v>45291</v>
      </c>
      <c r="O421" s="684"/>
      <c r="P421" s="684"/>
      <c r="Q421" s="684"/>
      <c r="R421" s="684"/>
      <c r="S421" s="684"/>
      <c r="T421" s="684"/>
      <c r="U421" s="687"/>
    </row>
    <row r="422" spans="1:21" ht="18">
      <c r="A422" s="694"/>
      <c r="B422" s="695"/>
      <c r="C422" s="695"/>
      <c r="D422" s="695"/>
      <c r="E422" s="695"/>
      <c r="F422" s="695"/>
      <c r="G422" s="695"/>
      <c r="H422" s="695"/>
      <c r="I422" s="695"/>
      <c r="J422" s="695"/>
      <c r="K422" s="695"/>
      <c r="L422" s="695"/>
      <c r="M422" s="695"/>
      <c r="N422" s="696"/>
      <c r="O422" s="684"/>
      <c r="P422" s="684"/>
      <c r="Q422" s="684"/>
      <c r="R422" s="684"/>
      <c r="S422" s="684"/>
      <c r="T422" s="684"/>
      <c r="U422" s="687"/>
    </row>
    <row r="423" spans="1:21" ht="18">
      <c r="A423" s="694" t="s">
        <v>670</v>
      </c>
      <c r="B423" s="695"/>
      <c r="C423" s="695"/>
      <c r="D423" s="695"/>
      <c r="E423" s="695"/>
      <c r="F423" s="705">
        <v>36180</v>
      </c>
      <c r="G423" s="705">
        <v>56620</v>
      </c>
      <c r="H423" s="695"/>
      <c r="I423" s="695" t="s">
        <v>671</v>
      </c>
      <c r="J423" s="695"/>
      <c r="K423" s="695"/>
      <c r="L423" s="695"/>
      <c r="M423" s="705">
        <v>15480</v>
      </c>
      <c r="N423" s="706">
        <v>10320</v>
      </c>
      <c r="O423" s="684"/>
      <c r="P423" s="684"/>
      <c r="Q423" s="684"/>
      <c r="R423" s="684"/>
      <c r="S423" s="684"/>
      <c r="T423" s="684"/>
      <c r="U423" s="687"/>
    </row>
    <row r="424" spans="1:21" ht="18">
      <c r="A424" s="694" t="s">
        <v>672</v>
      </c>
      <c r="B424" s="695"/>
      <c r="C424" s="695"/>
      <c r="D424" s="695"/>
      <c r="E424" s="695"/>
      <c r="F424" s="705">
        <v>68800</v>
      </c>
      <c r="G424" s="705">
        <v>41800</v>
      </c>
      <c r="H424" s="695"/>
      <c r="I424" s="695" t="s">
        <v>673</v>
      </c>
      <c r="J424" s="695"/>
      <c r="K424" s="695"/>
      <c r="L424" s="695"/>
      <c r="M424" s="705">
        <v>2300</v>
      </c>
      <c r="N424" s="706">
        <v>4100</v>
      </c>
      <c r="O424" s="684"/>
      <c r="P424" s="684"/>
      <c r="Q424" s="684"/>
      <c r="R424" s="684"/>
      <c r="S424" s="684"/>
      <c r="T424" s="684"/>
      <c r="U424" s="687"/>
    </row>
    <row r="425" spans="1:21" ht="18">
      <c r="A425" s="694" t="s">
        <v>674</v>
      </c>
      <c r="B425" s="695"/>
      <c r="C425" s="695"/>
      <c r="D425" s="695"/>
      <c r="E425" s="695"/>
      <c r="F425" s="705">
        <v>5160</v>
      </c>
      <c r="G425" s="705">
        <v>7740</v>
      </c>
      <c r="H425" s="695"/>
      <c r="I425" s="695" t="s">
        <v>675</v>
      </c>
      <c r="J425" s="695"/>
      <c r="K425" s="695"/>
      <c r="L425" s="695"/>
      <c r="M425" s="705">
        <v>44000</v>
      </c>
      <c r="N425" s="706">
        <v>45877</v>
      </c>
      <c r="O425" s="684"/>
      <c r="P425" s="684"/>
      <c r="Q425" s="684"/>
      <c r="R425" s="684"/>
      <c r="S425" s="684"/>
      <c r="T425" s="684"/>
      <c r="U425" s="687"/>
    </row>
    <row r="426" spans="1:21" ht="18">
      <c r="A426" s="694" t="s">
        <v>676</v>
      </c>
      <c r="B426" s="695"/>
      <c r="C426" s="695"/>
      <c r="D426" s="695"/>
      <c r="E426" s="695"/>
      <c r="F426" s="705">
        <v>16200</v>
      </c>
      <c r="G426" s="705">
        <v>17300</v>
      </c>
      <c r="H426" s="695"/>
      <c r="I426" s="695" t="s">
        <v>677</v>
      </c>
      <c r="J426" s="695"/>
      <c r="K426" s="695"/>
      <c r="L426" s="695"/>
      <c r="M426" s="705">
        <v>125000</v>
      </c>
      <c r="N426" s="706">
        <v>125000</v>
      </c>
      <c r="O426" s="684"/>
      <c r="P426" s="684"/>
      <c r="Q426" s="684"/>
      <c r="R426" s="684"/>
      <c r="S426" s="684"/>
      <c r="T426" s="684"/>
      <c r="U426" s="687"/>
    </row>
    <row r="427" spans="1:21" ht="19.899999999999999">
      <c r="A427" s="694" t="s">
        <v>678</v>
      </c>
      <c r="B427" s="695"/>
      <c r="C427" s="695"/>
      <c r="D427" s="695"/>
      <c r="E427" s="695"/>
      <c r="F427" s="707">
        <v>2100</v>
      </c>
      <c r="G427" s="707">
        <v>101070</v>
      </c>
      <c r="H427" s="695"/>
      <c r="I427" s="695" t="s">
        <v>679</v>
      </c>
      <c r="J427" s="695"/>
      <c r="K427" s="695"/>
      <c r="L427" s="695"/>
      <c r="M427" s="707">
        <v>0</v>
      </c>
      <c r="N427" s="708">
        <v>91000</v>
      </c>
      <c r="O427" s="684"/>
      <c r="P427" s="684"/>
      <c r="Q427" s="684"/>
      <c r="R427" s="684"/>
      <c r="S427" s="684"/>
      <c r="T427" s="684"/>
      <c r="U427" s="687"/>
    </row>
    <row r="428" spans="1:21" ht="18">
      <c r="A428" s="697" t="s">
        <v>680</v>
      </c>
      <c r="B428" s="695"/>
      <c r="C428" s="695"/>
      <c r="D428" s="695"/>
      <c r="E428" s="695"/>
      <c r="F428" s="709">
        <v>128440</v>
      </c>
      <c r="G428" s="709">
        <v>224530</v>
      </c>
      <c r="H428" s="695"/>
      <c r="I428" s="714" t="s">
        <v>681</v>
      </c>
      <c r="J428" s="695"/>
      <c r="K428" s="695"/>
      <c r="L428" s="695"/>
      <c r="M428" s="709">
        <v>186780</v>
      </c>
      <c r="N428" s="710">
        <v>276297</v>
      </c>
      <c r="O428" s="684"/>
      <c r="P428" s="684"/>
      <c r="Q428" s="684"/>
      <c r="R428" s="684"/>
      <c r="S428" s="684"/>
      <c r="T428" s="684"/>
      <c r="U428" s="687"/>
    </row>
    <row r="429" spans="1:21" ht="18">
      <c r="A429" s="694"/>
      <c r="B429" s="695"/>
      <c r="C429" s="695"/>
      <c r="D429" s="695"/>
      <c r="E429" s="695"/>
      <c r="F429" s="705"/>
      <c r="G429" s="705"/>
      <c r="H429" s="695"/>
      <c r="I429" s="695"/>
      <c r="J429" s="695"/>
      <c r="K429" s="695"/>
      <c r="L429" s="695"/>
      <c r="M429" s="705"/>
      <c r="N429" s="706"/>
      <c r="O429" s="793"/>
      <c r="P429" s="684"/>
      <c r="Q429" s="684"/>
      <c r="R429" s="684"/>
      <c r="S429" s="684"/>
      <c r="T429" s="684"/>
      <c r="U429" s="687"/>
    </row>
    <row r="430" spans="1:21" ht="18">
      <c r="A430" s="694" t="s">
        <v>682</v>
      </c>
      <c r="B430" s="695"/>
      <c r="C430" s="695"/>
      <c r="D430" s="695"/>
      <c r="E430" s="695"/>
      <c r="F430" s="705">
        <v>580000</v>
      </c>
      <c r="G430" s="705">
        <v>580000</v>
      </c>
      <c r="H430" s="695"/>
      <c r="I430" s="695" t="s">
        <v>683</v>
      </c>
      <c r="J430" s="695"/>
      <c r="K430" s="695"/>
      <c r="L430" s="695"/>
      <c r="M430" s="705">
        <v>1250000</v>
      </c>
      <c r="N430" s="706">
        <v>1725000</v>
      </c>
      <c r="O430" s="793"/>
      <c r="P430" s="684"/>
      <c r="Q430" s="684"/>
      <c r="R430" s="684"/>
      <c r="S430" s="684"/>
      <c r="T430" s="684"/>
      <c r="U430" s="687"/>
    </row>
    <row r="431" spans="1:21" ht="18">
      <c r="A431" s="694" t="s">
        <v>684</v>
      </c>
      <c r="B431" s="695"/>
      <c r="C431" s="695"/>
      <c r="D431" s="695"/>
      <c r="E431" s="695"/>
      <c r="F431" s="705">
        <v>-116000</v>
      </c>
      <c r="G431" s="705">
        <v>-232000</v>
      </c>
      <c r="H431" s="695"/>
      <c r="I431" s="695" t="s">
        <v>637</v>
      </c>
      <c r="J431" s="695"/>
      <c r="K431" s="695"/>
      <c r="L431" s="695"/>
      <c r="M431" s="705">
        <v>120000</v>
      </c>
      <c r="N431" s="706">
        <v>120000</v>
      </c>
      <c r="O431" s="684"/>
      <c r="P431" s="684"/>
      <c r="Q431" s="684"/>
      <c r="R431" s="684"/>
      <c r="S431" s="684"/>
      <c r="T431" s="684"/>
      <c r="U431" s="687"/>
    </row>
    <row r="432" spans="1:21" ht="18">
      <c r="A432" s="694" t="s">
        <v>685</v>
      </c>
      <c r="B432" s="695"/>
      <c r="C432" s="695"/>
      <c r="D432" s="695"/>
      <c r="E432" s="695"/>
      <c r="F432" s="705">
        <v>920000</v>
      </c>
      <c r="G432" s="705">
        <v>1590000</v>
      </c>
      <c r="H432" s="695"/>
      <c r="I432" s="695" t="s">
        <v>686</v>
      </c>
      <c r="J432" s="695"/>
      <c r="K432" s="695"/>
      <c r="L432" s="695"/>
      <c r="M432" s="705">
        <v>85000</v>
      </c>
      <c r="N432" s="706">
        <v>85000</v>
      </c>
      <c r="O432" s="684"/>
      <c r="P432" s="684"/>
      <c r="Q432" s="684"/>
      <c r="R432" s="684"/>
      <c r="S432" s="684"/>
      <c r="T432" s="684"/>
      <c r="U432" s="687"/>
    </row>
    <row r="433" spans="1:21" ht="19.899999999999999">
      <c r="A433" s="694" t="s">
        <v>687</v>
      </c>
      <c r="B433" s="695"/>
      <c r="C433" s="695"/>
      <c r="D433" s="695"/>
      <c r="E433" s="695"/>
      <c r="F433" s="705">
        <v>-46000</v>
      </c>
      <c r="G433" s="705">
        <v>-92000</v>
      </c>
      <c r="H433" s="695"/>
      <c r="I433" s="695" t="s">
        <v>688</v>
      </c>
      <c r="J433" s="695"/>
      <c r="K433" s="695"/>
      <c r="L433" s="695"/>
      <c r="M433" s="707">
        <v>124660</v>
      </c>
      <c r="N433" s="708">
        <v>164233</v>
      </c>
      <c r="O433" s="793"/>
      <c r="P433" s="684"/>
      <c r="Q433" s="684"/>
      <c r="R433" s="684"/>
      <c r="S433" s="684"/>
      <c r="T433" s="684"/>
      <c r="U433" s="687"/>
    </row>
    <row r="434" spans="1:21" ht="19.899999999999999">
      <c r="A434" s="694" t="s">
        <v>689</v>
      </c>
      <c r="B434" s="695"/>
      <c r="C434" s="695"/>
      <c r="D434" s="695"/>
      <c r="E434" s="695"/>
      <c r="F434" s="707">
        <v>300000</v>
      </c>
      <c r="G434" s="707">
        <v>300000</v>
      </c>
      <c r="H434" s="695"/>
      <c r="I434" s="714" t="s">
        <v>690</v>
      </c>
      <c r="J434" s="695"/>
      <c r="K434" s="695"/>
      <c r="L434" s="695"/>
      <c r="M434" s="709">
        <v>1579660</v>
      </c>
      <c r="N434" s="710">
        <v>2094233</v>
      </c>
      <c r="O434" s="794"/>
      <c r="P434" s="684"/>
      <c r="Q434" s="684"/>
      <c r="R434" s="684"/>
      <c r="S434" s="684"/>
      <c r="T434" s="684"/>
      <c r="U434" s="687"/>
    </row>
    <row r="435" spans="1:21" ht="18">
      <c r="A435" s="697" t="s">
        <v>691</v>
      </c>
      <c r="B435" s="695"/>
      <c r="C435" s="695"/>
      <c r="D435" s="695"/>
      <c r="E435" s="695"/>
      <c r="F435" s="709">
        <v>1638000</v>
      </c>
      <c r="G435" s="709">
        <v>2146000</v>
      </c>
      <c r="H435" s="695"/>
      <c r="I435" s="695"/>
      <c r="J435" s="695"/>
      <c r="K435" s="695"/>
      <c r="L435" s="695"/>
      <c r="M435" s="715"/>
      <c r="N435" s="711"/>
      <c r="O435" s="689"/>
      <c r="P435" s="793"/>
      <c r="Q435" s="684"/>
      <c r="R435" s="684"/>
      <c r="S435" s="684"/>
      <c r="T435" s="684"/>
      <c r="U435" s="687"/>
    </row>
    <row r="436" spans="1:21" ht="18">
      <c r="A436" s="694"/>
      <c r="B436" s="695"/>
      <c r="C436" s="695"/>
      <c r="D436" s="695"/>
      <c r="E436" s="695"/>
      <c r="F436" s="715"/>
      <c r="G436" s="715"/>
      <c r="H436" s="695"/>
      <c r="I436" s="695"/>
      <c r="J436" s="695"/>
      <c r="K436" s="695"/>
      <c r="L436" s="695"/>
      <c r="M436" s="715"/>
      <c r="N436" s="711"/>
      <c r="O436" s="689"/>
      <c r="P436" s="684"/>
      <c r="Q436" s="684"/>
      <c r="R436" s="684"/>
      <c r="S436" s="684"/>
      <c r="T436" s="684"/>
      <c r="U436" s="687"/>
    </row>
    <row r="437" spans="1:21" ht="18">
      <c r="A437" s="698" t="s">
        <v>692</v>
      </c>
      <c r="B437" s="699"/>
      <c r="C437" s="699"/>
      <c r="D437" s="699"/>
      <c r="E437" s="699"/>
      <c r="F437" s="712">
        <v>1766440</v>
      </c>
      <c r="G437" s="712">
        <v>2370530</v>
      </c>
      <c r="H437" s="700"/>
      <c r="I437" s="700" t="s">
        <v>693</v>
      </c>
      <c r="J437" s="700"/>
      <c r="K437" s="700"/>
      <c r="L437" s="700"/>
      <c r="M437" s="712">
        <v>1766440</v>
      </c>
      <c r="N437" s="713">
        <v>2370530</v>
      </c>
      <c r="O437" s="689"/>
      <c r="P437" s="684"/>
      <c r="Q437" s="684"/>
      <c r="R437" s="684"/>
      <c r="S437" s="684"/>
      <c r="T437" s="684"/>
      <c r="U437" s="687"/>
    </row>
    <row r="438" spans="1:21" ht="18">
      <c r="A438" s="684"/>
      <c r="B438" s="684"/>
      <c r="C438" s="684"/>
      <c r="D438" s="684"/>
      <c r="E438" s="684"/>
      <c r="F438" s="684"/>
      <c r="G438" s="684"/>
      <c r="H438" s="684"/>
      <c r="I438" s="684"/>
      <c r="J438" s="684"/>
      <c r="K438" s="684"/>
      <c r="L438" s="684"/>
      <c r="M438" s="684"/>
      <c r="N438" s="684"/>
      <c r="O438" s="689"/>
      <c r="P438" s="684"/>
      <c r="Q438" s="684"/>
      <c r="R438" s="684"/>
      <c r="S438" s="684"/>
      <c r="T438" s="684"/>
      <c r="U438" s="687"/>
    </row>
    <row r="439" spans="1:21" ht="18">
      <c r="A439" s="701" t="s">
        <v>694</v>
      </c>
      <c r="B439" s="691"/>
      <c r="C439" s="691"/>
      <c r="D439" s="691"/>
      <c r="E439" s="702"/>
      <c r="F439" s="684"/>
      <c r="G439" s="684"/>
      <c r="H439" s="684"/>
      <c r="I439" s="684"/>
      <c r="J439" s="684"/>
      <c r="K439" s="684"/>
      <c r="L439" s="684"/>
      <c r="M439" s="684"/>
      <c r="N439" s="684"/>
      <c r="O439" s="689"/>
      <c r="P439" s="684"/>
      <c r="Q439" s="684"/>
      <c r="R439" s="684"/>
      <c r="S439" s="684"/>
      <c r="T439" s="684"/>
      <c r="U439" s="687"/>
    </row>
    <row r="440" spans="1:21" ht="18">
      <c r="A440" s="694"/>
      <c r="B440" s="695"/>
      <c r="C440" s="695"/>
      <c r="D440" s="695"/>
      <c r="E440" s="696"/>
      <c r="F440" s="684"/>
      <c r="G440" s="684"/>
      <c r="H440" s="684"/>
      <c r="I440" s="684"/>
      <c r="J440" s="684"/>
      <c r="K440" s="684"/>
      <c r="L440" s="684"/>
      <c r="M440" s="684"/>
      <c r="N440" s="684"/>
      <c r="O440" s="684"/>
      <c r="P440" s="684"/>
      <c r="Q440" s="684"/>
      <c r="R440" s="684"/>
      <c r="S440" s="684"/>
      <c r="T440" s="684"/>
      <c r="U440" s="687"/>
    </row>
    <row r="441" spans="1:21" ht="19.899999999999999">
      <c r="A441" s="694" t="s">
        <v>695</v>
      </c>
      <c r="B441" s="695"/>
      <c r="C441" s="695"/>
      <c r="D441" s="695"/>
      <c r="E441" s="708">
        <v>1569500</v>
      </c>
      <c r="F441" s="684"/>
      <c r="G441" s="684"/>
      <c r="H441" s="684"/>
      <c r="I441" s="684"/>
      <c r="J441" s="684"/>
      <c r="K441" s="684"/>
      <c r="L441" s="684"/>
      <c r="M441" s="684"/>
      <c r="N441" s="684"/>
      <c r="O441" s="684"/>
      <c r="P441" s="684"/>
      <c r="Q441" s="684"/>
      <c r="R441" s="684"/>
      <c r="S441" s="684"/>
      <c r="T441" s="684"/>
      <c r="U441" s="687"/>
    </row>
    <row r="442" spans="1:21" ht="18">
      <c r="A442" s="694" t="s">
        <v>127</v>
      </c>
      <c r="B442" s="695"/>
      <c r="C442" s="695"/>
      <c r="D442" s="695"/>
      <c r="E442" s="706">
        <v>470850</v>
      </c>
      <c r="F442" s="684"/>
      <c r="G442" s="684"/>
      <c r="H442" s="684"/>
      <c r="I442" s="684"/>
      <c r="J442" s="684"/>
      <c r="K442" s="684"/>
      <c r="L442" s="684"/>
      <c r="M442" s="684"/>
      <c r="N442" s="684"/>
      <c r="O442" s="684"/>
      <c r="P442" s="684"/>
      <c r="Q442" s="684"/>
      <c r="R442" s="684"/>
      <c r="S442" s="684"/>
      <c r="T442" s="684"/>
      <c r="U442" s="687"/>
    </row>
    <row r="443" spans="1:21" ht="18">
      <c r="A443" s="694" t="s">
        <v>174</v>
      </c>
      <c r="B443" s="695"/>
      <c r="C443" s="695"/>
      <c r="D443" s="695"/>
      <c r="E443" s="706">
        <v>504000</v>
      </c>
      <c r="F443" s="684"/>
      <c r="G443" s="684"/>
      <c r="H443" s="684"/>
      <c r="I443" s="684"/>
      <c r="J443" s="684"/>
      <c r="K443" s="684"/>
      <c r="L443" s="684"/>
      <c r="M443" s="684"/>
      <c r="N443" s="684"/>
      <c r="O443" s="684"/>
      <c r="P443" s="684"/>
      <c r="Q443" s="684"/>
      <c r="R443" s="684"/>
      <c r="S443" s="684"/>
      <c r="T443" s="684"/>
      <c r="U443" s="687"/>
    </row>
    <row r="444" spans="1:21" ht="18">
      <c r="A444" s="694" t="s">
        <v>696</v>
      </c>
      <c r="B444" s="695"/>
      <c r="C444" s="695"/>
      <c r="D444" s="695"/>
      <c r="E444" s="706">
        <v>145000</v>
      </c>
      <c r="F444" s="684"/>
      <c r="G444" s="684"/>
      <c r="H444" s="684"/>
      <c r="I444" s="684"/>
      <c r="J444" s="684"/>
      <c r="K444" s="684"/>
      <c r="L444" s="684"/>
      <c r="M444" s="684"/>
      <c r="N444" s="684"/>
      <c r="O444" s="684"/>
      <c r="P444" s="684"/>
      <c r="Q444" s="684"/>
      <c r="R444" s="684"/>
      <c r="S444" s="684"/>
      <c r="T444" s="684"/>
      <c r="U444" s="687"/>
    </row>
    <row r="445" spans="1:21" ht="18">
      <c r="A445" s="694"/>
      <c r="B445" s="695"/>
      <c r="C445" s="695"/>
      <c r="D445" s="695"/>
      <c r="E445" s="706"/>
      <c r="F445" s="684"/>
      <c r="G445" s="684"/>
      <c r="H445" s="684"/>
      <c r="I445" s="684"/>
      <c r="J445" s="684"/>
      <c r="K445" s="684"/>
      <c r="L445" s="684"/>
      <c r="M445" s="684"/>
      <c r="N445" s="684"/>
      <c r="O445" s="684"/>
      <c r="P445" s="684"/>
      <c r="Q445" s="684"/>
      <c r="R445" s="684"/>
      <c r="S445" s="684"/>
      <c r="T445" s="684"/>
      <c r="U445" s="687"/>
    </row>
    <row r="446" spans="1:21" ht="18">
      <c r="A446" s="694" t="s">
        <v>697</v>
      </c>
      <c r="B446" s="695"/>
      <c r="C446" s="695"/>
      <c r="D446" s="695"/>
      <c r="E446" s="706">
        <v>116000</v>
      </c>
      <c r="F446" s="684"/>
      <c r="G446" s="684"/>
      <c r="H446" s="684"/>
      <c r="I446" s="684"/>
      <c r="J446" s="684"/>
      <c r="K446" s="684"/>
      <c r="L446" s="684"/>
      <c r="M446" s="684"/>
      <c r="N446" s="684"/>
      <c r="O446" s="684"/>
      <c r="P446" s="684"/>
      <c r="Q446" s="684"/>
      <c r="R446" s="684"/>
      <c r="S446" s="684"/>
      <c r="T446" s="684"/>
      <c r="U446" s="687"/>
    </row>
    <row r="447" spans="1:21" ht="18">
      <c r="A447" s="694" t="s">
        <v>698</v>
      </c>
      <c r="B447" s="695"/>
      <c r="C447" s="695"/>
      <c r="D447" s="695"/>
      <c r="E447" s="706">
        <v>46000</v>
      </c>
      <c r="F447" s="684"/>
      <c r="G447" s="684"/>
      <c r="H447" s="684"/>
      <c r="I447" s="684"/>
      <c r="J447" s="684"/>
      <c r="K447" s="684"/>
      <c r="L447" s="684"/>
      <c r="M447" s="684"/>
      <c r="N447" s="684"/>
      <c r="O447" s="684"/>
      <c r="P447" s="684"/>
      <c r="Q447" s="684"/>
      <c r="R447" s="684"/>
      <c r="S447" s="684"/>
      <c r="T447" s="684"/>
      <c r="U447" s="687"/>
    </row>
    <row r="448" spans="1:21" ht="18">
      <c r="A448" s="694"/>
      <c r="B448" s="695"/>
      <c r="C448" s="695"/>
      <c r="D448" s="695"/>
      <c r="E448" s="706"/>
      <c r="F448" s="684"/>
      <c r="G448" s="684"/>
      <c r="H448" s="684"/>
      <c r="I448" s="684"/>
      <c r="J448" s="684"/>
      <c r="K448" s="684"/>
      <c r="L448" s="684"/>
      <c r="M448" s="684"/>
      <c r="N448" s="684"/>
      <c r="O448" s="684"/>
      <c r="P448" s="684"/>
      <c r="Q448" s="684"/>
      <c r="R448" s="684"/>
      <c r="S448" s="684"/>
      <c r="T448" s="684"/>
      <c r="U448" s="687"/>
    </row>
    <row r="449" spans="1:21" ht="18">
      <c r="A449" s="694" t="s">
        <v>86</v>
      </c>
      <c r="B449" s="695"/>
      <c r="C449" s="695"/>
      <c r="D449" s="695"/>
      <c r="E449" s="706">
        <v>16200</v>
      </c>
      <c r="F449" s="684"/>
      <c r="G449" s="684"/>
      <c r="H449" s="684"/>
      <c r="I449" s="684"/>
      <c r="J449" s="684"/>
      <c r="K449" s="684"/>
      <c r="L449" s="684"/>
      <c r="M449" s="684"/>
      <c r="N449" s="684"/>
      <c r="O449" s="684"/>
      <c r="P449" s="684"/>
      <c r="Q449" s="684"/>
      <c r="R449" s="684"/>
      <c r="S449" s="684"/>
      <c r="T449" s="684"/>
      <c r="U449" s="687"/>
    </row>
    <row r="450" spans="1:21" ht="18">
      <c r="A450" s="694" t="s">
        <v>699</v>
      </c>
      <c r="B450" s="695"/>
      <c r="C450" s="695"/>
      <c r="D450" s="695"/>
      <c r="E450" s="706">
        <v>32500</v>
      </c>
      <c r="F450" s="684"/>
      <c r="G450" s="684"/>
      <c r="H450" s="684"/>
      <c r="I450" s="684"/>
      <c r="J450" s="684"/>
      <c r="K450" s="684"/>
      <c r="L450" s="684"/>
      <c r="M450" s="684"/>
      <c r="N450" s="684"/>
      <c r="O450" s="684"/>
      <c r="P450" s="684"/>
      <c r="Q450" s="684"/>
      <c r="R450" s="684"/>
      <c r="S450" s="684"/>
      <c r="T450" s="684"/>
      <c r="U450" s="687"/>
    </row>
    <row r="451" spans="1:21" ht="19.899999999999999">
      <c r="A451" s="694" t="s">
        <v>90</v>
      </c>
      <c r="B451" s="695"/>
      <c r="C451" s="695"/>
      <c r="D451" s="695"/>
      <c r="E451" s="708">
        <v>62500</v>
      </c>
      <c r="F451" s="684"/>
      <c r="G451" s="684"/>
      <c r="H451" s="684"/>
      <c r="I451" s="684"/>
      <c r="J451" s="684"/>
      <c r="K451" s="684"/>
      <c r="L451" s="684"/>
      <c r="M451" s="684"/>
      <c r="N451" s="684"/>
      <c r="O451" s="684"/>
      <c r="P451" s="684"/>
      <c r="Q451" s="684"/>
      <c r="R451" s="684"/>
      <c r="S451" s="684"/>
      <c r="T451" s="684"/>
      <c r="U451" s="687"/>
    </row>
    <row r="452" spans="1:21" ht="18">
      <c r="A452" s="694"/>
      <c r="B452" s="695"/>
      <c r="C452" s="695"/>
      <c r="D452" s="695"/>
      <c r="E452" s="706"/>
      <c r="F452" s="684"/>
      <c r="G452" s="684"/>
      <c r="H452" s="684"/>
      <c r="I452" s="684"/>
      <c r="J452" s="684"/>
      <c r="K452" s="684"/>
      <c r="L452" s="684"/>
      <c r="M452" s="684"/>
      <c r="N452" s="684"/>
      <c r="O452" s="684"/>
      <c r="P452" s="684"/>
      <c r="Q452" s="684"/>
      <c r="R452" s="684"/>
      <c r="S452" s="684"/>
      <c r="T452" s="684"/>
      <c r="U452" s="687"/>
    </row>
    <row r="453" spans="1:21" ht="18">
      <c r="A453" s="694" t="s">
        <v>700</v>
      </c>
      <c r="B453" s="695"/>
      <c r="C453" s="695"/>
      <c r="D453" s="695"/>
      <c r="E453" s="706">
        <v>176450</v>
      </c>
      <c r="F453" s="684"/>
      <c r="G453" s="684"/>
      <c r="H453" s="684"/>
      <c r="I453" s="684"/>
      <c r="J453" s="684"/>
      <c r="K453" s="684"/>
      <c r="L453" s="684"/>
      <c r="M453" s="684"/>
      <c r="N453" s="684"/>
      <c r="O453" s="684"/>
      <c r="P453" s="684"/>
      <c r="Q453" s="684"/>
      <c r="R453" s="684"/>
      <c r="S453" s="684"/>
      <c r="T453" s="684"/>
      <c r="U453" s="687"/>
    </row>
    <row r="454" spans="1:21" ht="19.899999999999999">
      <c r="A454" s="694" t="s">
        <v>285</v>
      </c>
      <c r="B454" s="695"/>
      <c r="C454" s="695"/>
      <c r="D454" s="695"/>
      <c r="E454" s="708">
        <v>45877</v>
      </c>
      <c r="F454" s="684"/>
      <c r="G454" s="684"/>
      <c r="H454" s="684"/>
      <c r="I454" s="684"/>
      <c r="J454" s="684"/>
      <c r="K454" s="684"/>
      <c r="L454" s="684"/>
      <c r="M454" s="684"/>
      <c r="N454" s="684"/>
      <c r="O454" s="684"/>
      <c r="P454" s="684"/>
      <c r="Q454" s="684"/>
      <c r="R454" s="684"/>
      <c r="S454" s="684"/>
      <c r="T454" s="684"/>
      <c r="U454" s="687"/>
    </row>
    <row r="455" spans="1:21" ht="18">
      <c r="A455" s="703" t="s">
        <v>92</v>
      </c>
      <c r="B455" s="704"/>
      <c r="C455" s="704"/>
      <c r="D455" s="704"/>
      <c r="E455" s="713">
        <v>130573</v>
      </c>
      <c r="F455" s="684"/>
      <c r="G455" s="684"/>
      <c r="H455" s="684"/>
      <c r="I455" s="684"/>
      <c r="J455" s="684"/>
      <c r="K455" s="684"/>
      <c r="L455" s="684"/>
      <c r="M455" s="684"/>
      <c r="N455" s="684"/>
      <c r="O455" s="684"/>
      <c r="P455" s="684"/>
      <c r="Q455" s="684"/>
      <c r="R455" s="684"/>
      <c r="S455" s="684"/>
      <c r="T455" s="684"/>
      <c r="U455" s="687"/>
    </row>
    <row r="456" spans="1:21" ht="18">
      <c r="A456" s="684"/>
      <c r="B456" s="684"/>
      <c r="C456" s="684"/>
      <c r="D456" s="684"/>
      <c r="E456" s="792"/>
      <c r="F456" s="684"/>
      <c r="G456" s="684"/>
      <c r="H456" s="684"/>
      <c r="I456" s="684"/>
      <c r="J456" s="684"/>
      <c r="K456" s="684"/>
      <c r="L456" s="684"/>
      <c r="M456" s="684"/>
      <c r="N456" s="684"/>
      <c r="O456" s="684"/>
      <c r="P456" s="684"/>
      <c r="Q456" s="684"/>
      <c r="R456" s="684"/>
      <c r="S456" s="684"/>
      <c r="T456" s="684"/>
      <c r="U456" s="687"/>
    </row>
    <row r="457" spans="1:21" ht="18">
      <c r="A457" s="684"/>
      <c r="B457" s="684"/>
      <c r="C457" s="684"/>
      <c r="D457" s="684"/>
      <c r="E457" s="684"/>
      <c r="F457" s="684"/>
      <c r="G457" s="684"/>
      <c r="H457" s="684"/>
      <c r="I457" s="684"/>
      <c r="J457" s="684"/>
      <c r="K457" s="684"/>
      <c r="L457" s="684"/>
      <c r="M457" s="684"/>
      <c r="N457" s="684"/>
      <c r="O457" s="684"/>
      <c r="P457" s="684"/>
      <c r="Q457" s="684"/>
      <c r="R457" s="684"/>
      <c r="S457" s="684"/>
      <c r="T457" s="684"/>
      <c r="U457" s="687"/>
    </row>
    <row r="458" spans="1:21" ht="21">
      <c r="A458" s="683" t="s">
        <v>880</v>
      </c>
      <c r="B458" s="684" t="s">
        <v>879</v>
      </c>
      <c r="C458" s="684"/>
      <c r="D458" s="684"/>
      <c r="E458" s="684"/>
      <c r="F458" s="684"/>
      <c r="G458" s="684"/>
      <c r="H458" s="684"/>
      <c r="I458" s="684"/>
      <c r="J458" s="684"/>
      <c r="K458" s="684"/>
      <c r="L458" s="684"/>
      <c r="M458" s="684"/>
      <c r="N458" s="684"/>
      <c r="O458" s="684"/>
      <c r="P458" s="684"/>
      <c r="Q458" s="684"/>
      <c r="R458" s="684"/>
      <c r="S458" s="684"/>
      <c r="T458" s="684"/>
      <c r="U458" s="687">
        <v>2</v>
      </c>
    </row>
    <row r="459" spans="1:21" ht="18">
      <c r="A459" s="684" t="s">
        <v>878</v>
      </c>
      <c r="B459" s="684"/>
      <c r="C459" s="684"/>
      <c r="D459" s="684"/>
      <c r="E459" s="684"/>
      <c r="F459" s="684"/>
      <c r="G459" s="684"/>
      <c r="H459" s="684"/>
      <c r="I459" s="684"/>
      <c r="J459" s="684"/>
      <c r="K459" s="684"/>
      <c r="L459" s="684"/>
      <c r="M459" s="684"/>
      <c r="N459" s="684"/>
      <c r="O459" s="684"/>
      <c r="P459" s="684"/>
      <c r="Q459" s="684"/>
      <c r="R459" s="684"/>
      <c r="S459" s="684"/>
      <c r="T459" s="684"/>
      <c r="U459" s="687"/>
    </row>
    <row r="460" spans="1:21" ht="18">
      <c r="A460" s="684" t="s">
        <v>877</v>
      </c>
      <c r="B460" s="684"/>
      <c r="C460" s="684"/>
      <c r="D460" s="684"/>
      <c r="E460" s="684"/>
      <c r="F460" s="684"/>
      <c r="G460" s="684"/>
      <c r="H460" s="684"/>
      <c r="I460" s="684"/>
      <c r="J460" s="684"/>
      <c r="K460" s="684"/>
      <c r="L460" s="684"/>
      <c r="M460" s="684"/>
      <c r="N460" s="684"/>
      <c r="O460" s="684"/>
      <c r="P460" s="684"/>
      <c r="Q460" s="684"/>
      <c r="R460" s="684"/>
      <c r="S460" s="684"/>
      <c r="T460" s="684"/>
      <c r="U460" s="687"/>
    </row>
    <row r="461" spans="1:21" ht="18">
      <c r="A461" s="684"/>
      <c r="B461" s="684"/>
      <c r="C461" s="684"/>
      <c r="D461" s="684"/>
      <c r="E461" s="684"/>
      <c r="F461" s="684"/>
      <c r="G461" s="684"/>
      <c r="H461" s="684"/>
      <c r="I461" s="684"/>
      <c r="J461" s="684"/>
      <c r="K461" s="684"/>
      <c r="L461" s="684"/>
      <c r="M461" s="684"/>
      <c r="N461" s="684"/>
      <c r="O461" s="684"/>
      <c r="P461" s="684"/>
      <c r="Q461" s="684"/>
      <c r="R461" s="684"/>
      <c r="S461" s="684"/>
      <c r="T461" s="684"/>
      <c r="U461" s="687"/>
    </row>
    <row r="462" spans="1:21" ht="21">
      <c r="A462" s="683" t="s">
        <v>876</v>
      </c>
      <c r="B462" s="684" t="s">
        <v>875</v>
      </c>
      <c r="C462" s="684"/>
      <c r="D462" s="684"/>
      <c r="E462" s="684"/>
      <c r="F462" s="684"/>
      <c r="G462" s="684"/>
      <c r="H462" s="684"/>
      <c r="I462" s="684"/>
      <c r="J462" s="684"/>
      <c r="K462" s="684"/>
      <c r="L462" s="684"/>
      <c r="M462" s="684"/>
      <c r="N462" s="684"/>
      <c r="O462" s="684"/>
      <c r="P462" s="684"/>
      <c r="Q462" s="684"/>
      <c r="R462" s="684"/>
      <c r="S462" s="684"/>
      <c r="T462" s="684"/>
      <c r="U462" s="687">
        <v>4</v>
      </c>
    </row>
    <row r="463" spans="1:21" ht="18">
      <c r="A463" s="684"/>
      <c r="B463" s="684"/>
      <c r="C463" s="684"/>
      <c r="D463" s="684"/>
      <c r="E463" s="684"/>
      <c r="F463" s="684"/>
      <c r="G463" s="684"/>
      <c r="H463" s="684"/>
      <c r="I463" s="684"/>
      <c r="J463" s="684"/>
      <c r="K463" s="684"/>
      <c r="L463" s="684"/>
      <c r="M463" s="684"/>
      <c r="N463" s="684"/>
      <c r="O463" s="684"/>
      <c r="P463" s="684"/>
      <c r="Q463" s="684"/>
      <c r="R463" s="684"/>
      <c r="S463" s="684"/>
      <c r="T463" s="684"/>
      <c r="U463" s="687"/>
    </row>
    <row r="464" spans="1:21" ht="21">
      <c r="A464" s="683" t="s">
        <v>874</v>
      </c>
      <c r="B464" s="684" t="s">
        <v>873</v>
      </c>
      <c r="C464" s="684"/>
      <c r="D464" s="684"/>
      <c r="E464" s="684"/>
      <c r="F464" s="684"/>
      <c r="G464" s="684"/>
      <c r="H464" s="684"/>
      <c r="I464" s="684"/>
      <c r="J464" s="684"/>
      <c r="K464" s="684"/>
      <c r="L464" s="684"/>
      <c r="M464" s="684"/>
      <c r="N464" s="684"/>
      <c r="O464" s="684"/>
      <c r="P464" s="684"/>
      <c r="Q464" s="684"/>
      <c r="R464" s="684"/>
      <c r="S464" s="684"/>
      <c r="T464" s="684"/>
      <c r="U464" s="687">
        <v>4</v>
      </c>
    </row>
    <row r="465" spans="1:21" ht="18">
      <c r="A465" s="684"/>
      <c r="B465" s="684"/>
      <c r="C465" s="684"/>
      <c r="D465" s="684"/>
      <c r="E465" s="684"/>
      <c r="F465" s="684"/>
      <c r="G465" s="684"/>
      <c r="H465" s="684"/>
      <c r="I465" s="684"/>
      <c r="J465" s="684"/>
      <c r="K465" s="684"/>
      <c r="L465" s="684"/>
      <c r="M465" s="684"/>
      <c r="N465" s="684"/>
      <c r="O465" s="684"/>
      <c r="P465" s="684"/>
      <c r="Q465" s="684"/>
      <c r="R465" s="684"/>
      <c r="S465" s="684"/>
      <c r="T465" s="684"/>
      <c r="U465" s="687"/>
    </row>
    <row r="466" spans="1:21" ht="21">
      <c r="A466" s="683" t="s">
        <v>872</v>
      </c>
      <c r="B466" s="684" t="s">
        <v>871</v>
      </c>
      <c r="C466" s="684"/>
      <c r="D466" s="684"/>
      <c r="E466" s="684"/>
      <c r="F466" s="684"/>
      <c r="G466" s="684"/>
      <c r="H466" s="684"/>
      <c r="I466" s="684"/>
      <c r="J466" s="684"/>
      <c r="K466" s="684"/>
      <c r="L466" s="684"/>
      <c r="M466" s="684"/>
      <c r="N466" s="684"/>
      <c r="O466" s="684"/>
      <c r="P466" s="684"/>
      <c r="Q466" s="684"/>
      <c r="R466" s="684"/>
      <c r="S466" s="684"/>
      <c r="T466" s="684"/>
      <c r="U466" s="687">
        <v>4</v>
      </c>
    </row>
    <row r="467" spans="1:21" ht="18">
      <c r="A467" s="689"/>
      <c r="B467" s="684"/>
      <c r="C467" s="684"/>
      <c r="D467" s="684"/>
      <c r="E467" s="684"/>
      <c r="F467" s="684"/>
      <c r="G467" s="684"/>
      <c r="H467" s="684"/>
      <c r="I467" s="684"/>
      <c r="J467" s="684"/>
      <c r="K467" s="684"/>
      <c r="L467" s="684"/>
      <c r="M467" s="684"/>
      <c r="N467" s="684"/>
      <c r="O467" s="684"/>
      <c r="P467" s="684"/>
      <c r="Q467" s="684"/>
      <c r="R467" s="684"/>
      <c r="S467" s="684"/>
      <c r="T467" s="684"/>
      <c r="U467" s="687"/>
    </row>
    <row r="468" spans="1:21" ht="21">
      <c r="A468" s="683" t="s">
        <v>870</v>
      </c>
      <c r="B468" s="684" t="s">
        <v>869</v>
      </c>
      <c r="C468" s="684"/>
      <c r="D468" s="684"/>
      <c r="E468" s="684"/>
      <c r="F468" s="684"/>
      <c r="G468" s="684"/>
      <c r="H468" s="684"/>
      <c r="I468" s="684"/>
      <c r="J468" s="684"/>
      <c r="K468" s="684"/>
      <c r="L468" s="684"/>
      <c r="M468" s="684"/>
      <c r="N468" s="684"/>
      <c r="O468" s="684"/>
      <c r="P468" s="684"/>
      <c r="Q468" s="684"/>
      <c r="R468" s="684"/>
      <c r="S468" s="684"/>
      <c r="T468" s="684"/>
      <c r="U468" s="687">
        <v>2</v>
      </c>
    </row>
    <row r="469" spans="1:21" ht="18">
      <c r="A469" s="684"/>
      <c r="B469" s="684" t="s">
        <v>868</v>
      </c>
      <c r="C469" s="684"/>
      <c r="D469" s="684"/>
      <c r="E469" s="684"/>
      <c r="F469" s="684"/>
      <c r="G469" s="684"/>
      <c r="H469" s="684"/>
      <c r="I469" s="684"/>
      <c r="J469" s="684"/>
      <c r="K469" s="684"/>
      <c r="L469" s="684"/>
      <c r="M469" s="684"/>
      <c r="N469" s="684"/>
      <c r="O469" s="684"/>
      <c r="P469" s="684"/>
      <c r="Q469" s="684"/>
      <c r="R469" s="684"/>
      <c r="S469" s="684"/>
      <c r="T469" s="684"/>
      <c r="U469" s="687">
        <v>2</v>
      </c>
    </row>
    <row r="471" spans="1:21" s="2" customFormat="1">
      <c r="A471" s="164">
        <v>16</v>
      </c>
    </row>
    <row r="473" spans="1:21" ht="21.4" thickBot="1">
      <c r="A473" s="976" t="str">
        <f>"Question 3 - Points "&amp;SUM(L474:L476)</f>
        <v>Question 3 - Points 8</v>
      </c>
      <c r="B473" s="977"/>
      <c r="C473" s="977"/>
      <c r="D473" s="977"/>
      <c r="E473" s="977"/>
      <c r="F473" s="977"/>
      <c r="G473" s="977"/>
      <c r="H473" s="977"/>
      <c r="I473" s="977"/>
      <c r="J473" s="977"/>
      <c r="K473" s="977"/>
      <c r="L473" s="549" t="s">
        <v>635</v>
      </c>
    </row>
    <row r="474" spans="1:21" ht="21.4" customHeight="1" thickBot="1">
      <c r="A474" s="982" t="s">
        <v>867</v>
      </c>
      <c r="B474" s="982"/>
      <c r="C474" s="982"/>
      <c r="D474" s="982"/>
      <c r="E474" s="982"/>
      <c r="F474" s="982"/>
      <c r="G474" s="982"/>
      <c r="H474" s="982"/>
      <c r="I474" s="982"/>
      <c r="J474" s="982"/>
      <c r="K474" s="982"/>
      <c r="L474" s="550">
        <v>8</v>
      </c>
    </row>
    <row r="475" spans="1:21" ht="21">
      <c r="A475" s="981"/>
      <c r="B475" s="981"/>
      <c r="C475" s="981"/>
      <c r="D475" s="981"/>
      <c r="E475" s="981"/>
      <c r="F475" s="981"/>
      <c r="G475" s="981"/>
      <c r="H475" s="981"/>
      <c r="I475" s="981"/>
      <c r="J475" s="981"/>
      <c r="K475" s="981"/>
      <c r="L475" s="757"/>
    </row>
    <row r="476" spans="1:21" ht="21">
      <c r="A476" s="981"/>
      <c r="B476" s="981"/>
      <c r="C476" s="981"/>
      <c r="D476" s="981"/>
      <c r="E476" s="981"/>
      <c r="F476" s="981"/>
      <c r="G476" s="981"/>
      <c r="H476" s="981"/>
      <c r="I476" s="981"/>
      <c r="J476" s="981"/>
      <c r="K476" s="981"/>
      <c r="L476" s="757"/>
    </row>
    <row r="477" spans="1:21" ht="21">
      <c r="A477" s="981"/>
      <c r="B477" s="981"/>
      <c r="C477" s="981"/>
      <c r="D477" s="981"/>
      <c r="E477" s="981"/>
      <c r="F477" s="981"/>
      <c r="G477" s="981"/>
      <c r="H477" s="981"/>
      <c r="I477" s="981"/>
      <c r="J477" s="981"/>
      <c r="K477" s="981"/>
      <c r="L477" s="757"/>
    </row>
    <row r="478" spans="1:21" ht="21">
      <c r="A478" s="981"/>
      <c r="B478" s="981"/>
      <c r="C478" s="981"/>
      <c r="D478" s="981"/>
      <c r="E478" s="981"/>
      <c r="F478" s="981"/>
      <c r="G478" s="981"/>
      <c r="H478" s="981"/>
      <c r="I478" s="981"/>
      <c r="J478" s="981"/>
      <c r="K478" s="981"/>
      <c r="L478" s="757"/>
    </row>
    <row r="479" spans="1:21" ht="21">
      <c r="A479" s="981"/>
      <c r="B479" s="981"/>
      <c r="C479" s="981"/>
      <c r="D479" s="981"/>
      <c r="E479" s="981"/>
      <c r="F479" s="981"/>
      <c r="G479" s="981"/>
      <c r="H479" s="981"/>
      <c r="I479" s="981"/>
      <c r="J479" s="981"/>
      <c r="K479" s="981"/>
      <c r="L479" s="757"/>
    </row>
    <row r="480" spans="1:21" ht="21">
      <c r="A480" s="981"/>
      <c r="B480" s="981"/>
      <c r="C480" s="981"/>
      <c r="D480" s="981"/>
      <c r="E480" s="981"/>
      <c r="F480" s="981"/>
      <c r="G480" s="981"/>
      <c r="H480" s="981"/>
      <c r="I480" s="981"/>
      <c r="J480" s="981"/>
      <c r="K480" s="981"/>
      <c r="L480" s="757"/>
    </row>
    <row r="481" spans="1:12" ht="21">
      <c r="A481" s="981"/>
      <c r="B481" s="981"/>
      <c r="C481" s="981"/>
      <c r="D481" s="981"/>
      <c r="E481" s="981"/>
      <c r="F481" s="981"/>
      <c r="G481" s="981"/>
      <c r="H481" s="981"/>
      <c r="I481" s="981"/>
      <c r="J481" s="981"/>
      <c r="K481" s="981"/>
      <c r="L481" s="757"/>
    </row>
    <row r="482" spans="1:12" ht="21">
      <c r="A482" s="981"/>
      <c r="B482" s="981"/>
      <c r="C482" s="981"/>
      <c r="D482" s="981"/>
      <c r="E482" s="981"/>
      <c r="F482" s="981"/>
      <c r="G482" s="981"/>
      <c r="H482" s="981"/>
      <c r="I482" s="981"/>
      <c r="J482" s="981"/>
      <c r="K482" s="981"/>
      <c r="L482" s="757"/>
    </row>
    <row r="483" spans="1:12" ht="21">
      <c r="A483" s="981"/>
      <c r="B483" s="981"/>
      <c r="C483" s="981"/>
      <c r="D483" s="981"/>
      <c r="E483" s="981"/>
      <c r="F483" s="981"/>
      <c r="G483" s="981"/>
      <c r="H483" s="981"/>
      <c r="I483" s="981"/>
      <c r="J483" s="981"/>
      <c r="K483" s="981"/>
      <c r="L483" s="757"/>
    </row>
    <row r="484" spans="1:12" ht="21">
      <c r="A484" s="981"/>
      <c r="B484" s="981"/>
      <c r="C484" s="981"/>
      <c r="D484" s="981"/>
      <c r="E484" s="981"/>
      <c r="F484" s="981"/>
      <c r="G484" s="981"/>
      <c r="H484" s="981"/>
      <c r="I484" s="981"/>
      <c r="J484" s="981"/>
      <c r="K484" s="981"/>
      <c r="L484" s="757"/>
    </row>
    <row r="485" spans="1:12" ht="21">
      <c r="A485" s="981"/>
      <c r="B485" s="981"/>
      <c r="C485" s="981"/>
      <c r="D485" s="981"/>
      <c r="E485" s="981"/>
      <c r="F485" s="981"/>
      <c r="G485" s="981"/>
      <c r="H485" s="981"/>
      <c r="I485" s="981"/>
      <c r="J485" s="981"/>
      <c r="K485" s="981"/>
      <c r="L485" s="757"/>
    </row>
    <row r="486" spans="1:12" ht="21">
      <c r="A486" s="981"/>
      <c r="B486" s="981"/>
      <c r="C486" s="981"/>
      <c r="D486" s="981"/>
      <c r="E486" s="981"/>
      <c r="F486" s="981"/>
      <c r="G486" s="981"/>
      <c r="H486" s="981"/>
      <c r="I486" s="981"/>
      <c r="J486" s="981"/>
      <c r="K486" s="981"/>
      <c r="L486" s="757"/>
    </row>
    <row r="487" spans="1:12" ht="21">
      <c r="A487" s="981"/>
      <c r="B487" s="981"/>
      <c r="C487" s="981"/>
      <c r="D487" s="981"/>
      <c r="E487" s="981"/>
      <c r="F487" s="981"/>
      <c r="G487" s="981"/>
      <c r="H487" s="981"/>
      <c r="I487" s="981"/>
      <c r="J487" s="981"/>
      <c r="K487" s="981"/>
      <c r="L487" s="757"/>
    </row>
    <row r="488" spans="1:12" ht="21">
      <c r="A488" s="981"/>
      <c r="B488" s="981"/>
      <c r="C488" s="981"/>
      <c r="D488" s="981"/>
      <c r="E488" s="981"/>
      <c r="F488" s="981"/>
      <c r="G488" s="981"/>
      <c r="H488" s="981"/>
      <c r="I488" s="981"/>
      <c r="J488" s="981"/>
      <c r="K488" s="981"/>
      <c r="L488" s="757"/>
    </row>
    <row r="489" spans="1:12" ht="21">
      <c r="A489" s="981"/>
      <c r="B489" s="981"/>
      <c r="C489" s="981"/>
      <c r="D489" s="981"/>
      <c r="E489" s="981"/>
      <c r="F489" s="981"/>
      <c r="G489" s="981"/>
      <c r="H489" s="981"/>
      <c r="I489" s="981"/>
      <c r="J489" s="981"/>
      <c r="K489" s="981"/>
      <c r="L489" s="757"/>
    </row>
    <row r="490" spans="1:12" ht="21">
      <c r="A490" s="981"/>
      <c r="B490" s="981"/>
      <c r="C490" s="981"/>
      <c r="D490" s="981"/>
      <c r="E490" s="981"/>
      <c r="F490" s="981"/>
      <c r="G490" s="981"/>
      <c r="H490" s="981"/>
      <c r="I490" s="981"/>
      <c r="J490" s="981"/>
      <c r="K490" s="981"/>
      <c r="L490" s="757"/>
    </row>
    <row r="491" spans="1:12" ht="21">
      <c r="A491" s="981"/>
      <c r="B491" s="981"/>
      <c r="C491" s="981"/>
      <c r="D491" s="981"/>
      <c r="E491" s="981"/>
      <c r="F491" s="981"/>
      <c r="G491" s="981"/>
      <c r="H491" s="981"/>
      <c r="I491" s="981"/>
      <c r="J491" s="981"/>
      <c r="K491" s="981"/>
      <c r="L491" s="757"/>
    </row>
    <row r="492" spans="1:12" ht="21">
      <c r="A492" s="981"/>
      <c r="B492" s="981"/>
      <c r="C492" s="981"/>
      <c r="D492" s="981"/>
      <c r="E492" s="981"/>
      <c r="F492" s="981"/>
      <c r="G492" s="981"/>
      <c r="H492" s="981"/>
      <c r="I492" s="981"/>
      <c r="J492" s="981"/>
      <c r="K492" s="981"/>
      <c r="L492" s="757"/>
    </row>
    <row r="493" spans="1:12" ht="21">
      <c r="A493" s="981"/>
      <c r="B493" s="981"/>
      <c r="C493" s="981"/>
      <c r="D493" s="981"/>
      <c r="E493" s="981"/>
      <c r="F493" s="981"/>
      <c r="G493" s="981"/>
      <c r="H493" s="981"/>
      <c r="I493" s="981"/>
      <c r="J493" s="981"/>
      <c r="K493" s="981"/>
      <c r="L493" s="757"/>
    </row>
    <row r="494" spans="1:12" ht="21">
      <c r="A494" s="981"/>
      <c r="B494" s="981"/>
      <c r="C494" s="981"/>
      <c r="D494" s="981"/>
      <c r="E494" s="981"/>
      <c r="F494" s="981"/>
      <c r="G494" s="981"/>
      <c r="H494" s="981"/>
      <c r="I494" s="981"/>
      <c r="J494" s="981"/>
      <c r="K494" s="981"/>
      <c r="L494" s="757"/>
    </row>
    <row r="495" spans="1:12" ht="21">
      <c r="A495" s="981"/>
      <c r="B495" s="981"/>
      <c r="C495" s="981"/>
      <c r="D495" s="981"/>
      <c r="E495" s="981"/>
      <c r="F495" s="981"/>
      <c r="G495" s="981"/>
      <c r="H495" s="981"/>
      <c r="I495" s="981"/>
      <c r="J495" s="981"/>
      <c r="K495" s="981"/>
      <c r="L495" s="757"/>
    </row>
    <row r="496" spans="1:12" ht="21">
      <c r="A496" s="981"/>
      <c r="B496" s="981"/>
      <c r="C496" s="981"/>
      <c r="D496" s="981"/>
      <c r="E496" s="981"/>
      <c r="F496" s="981"/>
      <c r="G496" s="981"/>
      <c r="H496" s="981"/>
      <c r="I496" s="981"/>
      <c r="J496" s="981"/>
      <c r="K496" s="981"/>
      <c r="L496" s="757"/>
    </row>
    <row r="498" spans="1:12" s="2" customFormat="1">
      <c r="A498" s="164">
        <v>17</v>
      </c>
    </row>
    <row r="500" spans="1:12" ht="21.4" thickBot="1">
      <c r="A500" s="976" t="str">
        <f>"Question 3 - Points "&amp;SUM(L501:L503)</f>
        <v>Question 3 - Points 10</v>
      </c>
      <c r="B500" s="977"/>
      <c r="C500" s="977"/>
      <c r="D500" s="977"/>
      <c r="E500" s="977"/>
      <c r="F500" s="977"/>
      <c r="G500" s="977"/>
      <c r="H500" s="977"/>
      <c r="I500" s="977"/>
      <c r="J500" s="977"/>
      <c r="K500" s="977"/>
      <c r="L500" s="549" t="s">
        <v>635</v>
      </c>
    </row>
    <row r="501" spans="1:12" ht="21.4" customHeight="1" thickBot="1">
      <c r="A501" s="982" t="s">
        <v>866</v>
      </c>
      <c r="B501" s="982"/>
      <c r="C501" s="982"/>
      <c r="D501" s="982"/>
      <c r="E501" s="982"/>
      <c r="F501" s="982"/>
      <c r="G501" s="982"/>
      <c r="H501" s="982"/>
      <c r="I501" s="982"/>
      <c r="J501" s="982"/>
      <c r="K501" s="982"/>
      <c r="L501" s="550">
        <v>10</v>
      </c>
    </row>
    <row r="502" spans="1:12" ht="21">
      <c r="A502" s="981"/>
      <c r="B502" s="981"/>
      <c r="C502" s="981"/>
      <c r="D502" s="981"/>
      <c r="E502" s="981"/>
      <c r="F502" s="981"/>
      <c r="G502" s="981"/>
      <c r="H502" s="981"/>
      <c r="I502" s="981"/>
      <c r="J502" s="981"/>
      <c r="K502" s="981"/>
      <c r="L502" s="757"/>
    </row>
    <row r="503" spans="1:12" ht="21">
      <c r="A503" s="981"/>
      <c r="B503" s="981"/>
      <c r="C503" s="981"/>
      <c r="D503" s="981"/>
      <c r="E503" s="981"/>
      <c r="F503" s="981"/>
      <c r="G503" s="981"/>
      <c r="H503" s="981"/>
      <c r="I503" s="981"/>
      <c r="J503" s="981"/>
      <c r="K503" s="981"/>
      <c r="L503" s="757"/>
    </row>
    <row r="504" spans="1:12" ht="21">
      <c r="A504" s="981"/>
      <c r="B504" s="981"/>
      <c r="C504" s="981"/>
      <c r="D504" s="981"/>
      <c r="E504" s="981"/>
      <c r="F504" s="981"/>
      <c r="G504" s="981"/>
      <c r="H504" s="981"/>
      <c r="I504" s="981"/>
      <c r="J504" s="981"/>
      <c r="K504" s="981"/>
      <c r="L504" s="757"/>
    </row>
    <row r="505" spans="1:12">
      <c r="A505" s="981"/>
      <c r="B505" s="981"/>
      <c r="C505" s="981"/>
      <c r="D505" s="981"/>
      <c r="E505" s="981"/>
      <c r="F505" s="981"/>
      <c r="G505" s="981"/>
      <c r="H505" s="981"/>
      <c r="I505" s="981"/>
      <c r="J505" s="981"/>
      <c r="K505" s="981"/>
    </row>
    <row r="506" spans="1:12">
      <c r="A506" s="981"/>
      <c r="B506" s="981"/>
      <c r="C506" s="981"/>
      <c r="D506" s="981"/>
      <c r="E506" s="981"/>
      <c r="F506" s="981"/>
      <c r="G506" s="981"/>
      <c r="H506" s="981"/>
      <c r="I506" s="981"/>
      <c r="J506" s="981"/>
      <c r="K506" s="981"/>
    </row>
    <row r="507" spans="1:12">
      <c r="A507" s="981"/>
      <c r="B507" s="981"/>
      <c r="C507" s="981"/>
      <c r="D507" s="981"/>
      <c r="E507" s="981"/>
      <c r="F507" s="981"/>
      <c r="G507" s="981"/>
      <c r="H507" s="981"/>
      <c r="I507" s="981"/>
      <c r="J507" s="981"/>
      <c r="K507" s="981"/>
    </row>
    <row r="508" spans="1:12">
      <c r="A508" s="981"/>
      <c r="B508" s="981"/>
      <c r="C508" s="981"/>
      <c r="D508" s="981"/>
      <c r="E508" s="981"/>
      <c r="F508" s="981"/>
      <c r="G508" s="981"/>
      <c r="H508" s="981"/>
      <c r="I508" s="981"/>
      <c r="J508" s="981"/>
      <c r="K508" s="981"/>
    </row>
    <row r="509" spans="1:12">
      <c r="A509" s="981"/>
      <c r="B509" s="981"/>
      <c r="C509" s="981"/>
      <c r="D509" s="981"/>
      <c r="E509" s="981"/>
      <c r="F509" s="981"/>
      <c r="G509" s="981"/>
      <c r="H509" s="981"/>
      <c r="I509" s="981"/>
      <c r="J509" s="981"/>
      <c r="K509" s="981"/>
    </row>
    <row r="510" spans="1:12">
      <c r="A510" s="981"/>
      <c r="B510" s="981"/>
      <c r="C510" s="981"/>
      <c r="D510" s="981"/>
      <c r="E510" s="981"/>
      <c r="F510" s="981"/>
      <c r="G510" s="981"/>
      <c r="H510" s="981"/>
      <c r="I510" s="981"/>
      <c r="J510" s="981"/>
      <c r="K510" s="981"/>
    </row>
    <row r="511" spans="1:12">
      <c r="A511" s="981"/>
      <c r="B511" s="981"/>
      <c r="C511" s="981"/>
      <c r="D511" s="981"/>
      <c r="E511" s="981"/>
      <c r="F511" s="981"/>
      <c r="G511" s="981"/>
      <c r="H511" s="981"/>
      <c r="I511" s="981"/>
      <c r="J511" s="981"/>
      <c r="K511" s="981"/>
    </row>
    <row r="512" spans="1:12">
      <c r="A512" s="981"/>
      <c r="B512" s="981"/>
      <c r="C512" s="981"/>
      <c r="D512" s="981"/>
      <c r="E512" s="981"/>
      <c r="F512" s="981"/>
      <c r="G512" s="981"/>
      <c r="H512" s="981"/>
      <c r="I512" s="981"/>
      <c r="J512" s="981"/>
      <c r="K512" s="981"/>
    </row>
    <row r="513" spans="1:11">
      <c r="A513" s="981"/>
      <c r="B513" s="981"/>
      <c r="C513" s="981"/>
      <c r="D513" s="981"/>
      <c r="E513" s="981"/>
      <c r="F513" s="981"/>
      <c r="G513" s="981"/>
      <c r="H513" s="981"/>
      <c r="I513" s="981"/>
      <c r="J513" s="981"/>
      <c r="K513" s="981"/>
    </row>
    <row r="514" spans="1:11">
      <c r="A514" s="981"/>
      <c r="B514" s="981"/>
      <c r="C514" s="981"/>
      <c r="D514" s="981"/>
      <c r="E514" s="981"/>
      <c r="F514" s="981"/>
      <c r="G514" s="981"/>
      <c r="H514" s="981"/>
      <c r="I514" s="981"/>
      <c r="J514" s="981"/>
      <c r="K514" s="981"/>
    </row>
    <row r="515" spans="1:11">
      <c r="A515" s="981"/>
      <c r="B515" s="981"/>
      <c r="C515" s="981"/>
      <c r="D515" s="981"/>
      <c r="E515" s="981"/>
      <c r="F515" s="981"/>
      <c r="G515" s="981"/>
      <c r="H515" s="981"/>
      <c r="I515" s="981"/>
      <c r="J515" s="981"/>
      <c r="K515" s="981"/>
    </row>
    <row r="516" spans="1:11">
      <c r="A516" s="981"/>
      <c r="B516" s="981"/>
      <c r="C516" s="981"/>
      <c r="D516" s="981"/>
      <c r="E516" s="981"/>
      <c r="F516" s="981"/>
      <c r="G516" s="981"/>
      <c r="H516" s="981"/>
      <c r="I516" s="981"/>
      <c r="J516" s="981"/>
      <c r="K516" s="981"/>
    </row>
    <row r="517" spans="1:11">
      <c r="A517" s="981"/>
      <c r="B517" s="981"/>
      <c r="C517" s="981"/>
      <c r="D517" s="981"/>
      <c r="E517" s="981"/>
      <c r="F517" s="981"/>
      <c r="G517" s="981"/>
      <c r="H517" s="981"/>
      <c r="I517" s="981"/>
      <c r="J517" s="981"/>
      <c r="K517" s="981"/>
    </row>
    <row r="518" spans="1:11">
      <c r="A518" s="981"/>
      <c r="B518" s="981"/>
      <c r="C518" s="981"/>
      <c r="D518" s="981"/>
      <c r="E518" s="981"/>
      <c r="F518" s="981"/>
      <c r="G518" s="981"/>
      <c r="H518" s="981"/>
      <c r="I518" s="981"/>
      <c r="J518" s="981"/>
      <c r="K518" s="981"/>
    </row>
    <row r="519" spans="1:11">
      <c r="A519" s="981"/>
      <c r="B519" s="981"/>
      <c r="C519" s="981"/>
      <c r="D519" s="981"/>
      <c r="E519" s="981"/>
      <c r="F519" s="981"/>
      <c r="G519" s="981"/>
      <c r="H519" s="981"/>
      <c r="I519" s="981"/>
      <c r="J519" s="981"/>
      <c r="K519" s="981"/>
    </row>
    <row r="520" spans="1:11">
      <c r="A520" s="981"/>
      <c r="B520" s="981"/>
      <c r="C520" s="981"/>
      <c r="D520" s="981"/>
      <c r="E520" s="981"/>
      <c r="F520" s="981"/>
      <c r="G520" s="981"/>
      <c r="H520" s="981"/>
      <c r="I520" s="981"/>
      <c r="J520" s="981"/>
      <c r="K520" s="981"/>
    </row>
    <row r="521" spans="1:11">
      <c r="A521" s="981"/>
      <c r="B521" s="981"/>
      <c r="C521" s="981"/>
      <c r="D521" s="981"/>
      <c r="E521" s="981"/>
      <c r="F521" s="981"/>
      <c r="G521" s="981"/>
      <c r="H521" s="981"/>
      <c r="I521" s="981"/>
      <c r="J521" s="981"/>
      <c r="K521" s="981"/>
    </row>
    <row r="522" spans="1:11">
      <c r="A522" s="981"/>
      <c r="B522" s="981"/>
      <c r="C522" s="981"/>
      <c r="D522" s="981"/>
      <c r="E522" s="981"/>
      <c r="F522" s="981"/>
      <c r="G522" s="981"/>
      <c r="H522" s="981"/>
      <c r="I522" s="981"/>
      <c r="J522" s="981"/>
      <c r="K522" s="981"/>
    </row>
    <row r="523" spans="1:11">
      <c r="A523" s="981"/>
      <c r="B523" s="981"/>
      <c r="C523" s="981"/>
      <c r="D523" s="981"/>
      <c r="E523" s="981"/>
      <c r="F523" s="981"/>
      <c r="G523" s="981"/>
      <c r="H523" s="981"/>
      <c r="I523" s="981"/>
      <c r="J523" s="981"/>
      <c r="K523" s="981"/>
    </row>
    <row r="524" spans="1:11">
      <c r="A524" s="981"/>
      <c r="B524" s="981"/>
      <c r="C524" s="981"/>
      <c r="D524" s="981"/>
      <c r="E524" s="981"/>
      <c r="F524" s="981"/>
      <c r="G524" s="981"/>
      <c r="H524" s="981"/>
      <c r="I524" s="981"/>
      <c r="J524" s="981"/>
      <c r="K524" s="981"/>
    </row>
    <row r="525" spans="1:11">
      <c r="A525" s="981"/>
      <c r="B525" s="981"/>
      <c r="C525" s="981"/>
      <c r="D525" s="981"/>
      <c r="E525" s="981"/>
      <c r="F525" s="981"/>
      <c r="G525" s="981"/>
      <c r="H525" s="981"/>
      <c r="I525" s="981"/>
      <c r="J525" s="981"/>
      <c r="K525" s="981"/>
    </row>
    <row r="526" spans="1:11">
      <c r="A526" s="981"/>
      <c r="B526" s="981"/>
      <c r="C526" s="981"/>
      <c r="D526" s="981"/>
      <c r="E526" s="981"/>
      <c r="F526" s="981"/>
      <c r="G526" s="981"/>
      <c r="H526" s="981"/>
      <c r="I526" s="981"/>
      <c r="J526" s="981"/>
      <c r="K526" s="981"/>
    </row>
    <row r="527" spans="1:11">
      <c r="A527" s="981"/>
      <c r="B527" s="981"/>
      <c r="C527" s="981"/>
      <c r="D527" s="981"/>
      <c r="E527" s="981"/>
      <c r="F527" s="981"/>
      <c r="G527" s="981"/>
      <c r="H527" s="981"/>
      <c r="I527" s="981"/>
      <c r="J527" s="981"/>
      <c r="K527" s="981"/>
    </row>
    <row r="528" spans="1:11">
      <c r="A528" s="981"/>
      <c r="B528" s="981"/>
      <c r="C528" s="981"/>
      <c r="D528" s="981"/>
      <c r="E528" s="981"/>
      <c r="F528" s="981"/>
      <c r="G528" s="981"/>
      <c r="H528" s="981"/>
      <c r="I528" s="981"/>
      <c r="J528" s="981"/>
      <c r="K528" s="981"/>
    </row>
    <row r="529" spans="1:11">
      <c r="A529" s="981"/>
      <c r="B529" s="981"/>
      <c r="C529" s="981"/>
      <c r="D529" s="981"/>
      <c r="E529" s="981"/>
      <c r="F529" s="981"/>
      <c r="G529" s="981"/>
      <c r="H529" s="981"/>
      <c r="I529" s="981"/>
      <c r="J529" s="981"/>
      <c r="K529" s="981"/>
    </row>
    <row r="530" spans="1:11">
      <c r="A530" s="981"/>
      <c r="B530" s="981"/>
      <c r="C530" s="981"/>
      <c r="D530" s="981"/>
      <c r="E530" s="981"/>
      <c r="F530" s="981"/>
      <c r="G530" s="981"/>
      <c r="H530" s="981"/>
      <c r="I530" s="981"/>
      <c r="J530" s="981"/>
      <c r="K530" s="981"/>
    </row>
    <row r="531" spans="1:11">
      <c r="A531" s="981"/>
      <c r="B531" s="981"/>
      <c r="C531" s="981"/>
      <c r="D531" s="981"/>
      <c r="E531" s="981"/>
      <c r="F531" s="981"/>
      <c r="G531" s="981"/>
      <c r="H531" s="981"/>
      <c r="I531" s="981"/>
      <c r="J531" s="981"/>
      <c r="K531" s="981"/>
    </row>
    <row r="532" spans="1:11">
      <c r="A532" s="981"/>
      <c r="B532" s="981"/>
      <c r="C532" s="981"/>
      <c r="D532" s="981"/>
      <c r="E532" s="981"/>
      <c r="F532" s="981"/>
      <c r="G532" s="981"/>
      <c r="H532" s="981"/>
      <c r="I532" s="981"/>
      <c r="J532" s="981"/>
      <c r="K532" s="981"/>
    </row>
    <row r="533" spans="1:11">
      <c r="A533" s="981"/>
      <c r="B533" s="981"/>
      <c r="C533" s="981"/>
      <c r="D533" s="981"/>
      <c r="E533" s="981"/>
      <c r="F533" s="981"/>
      <c r="G533" s="981"/>
      <c r="H533" s="981"/>
      <c r="I533" s="981"/>
      <c r="J533" s="981"/>
      <c r="K533" s="981"/>
    </row>
    <row r="534" spans="1:11">
      <c r="A534" s="981"/>
      <c r="B534" s="981"/>
      <c r="C534" s="981"/>
      <c r="D534" s="981"/>
      <c r="E534" s="981"/>
      <c r="F534" s="981"/>
      <c r="G534" s="981"/>
      <c r="H534" s="981"/>
      <c r="I534" s="981"/>
      <c r="J534" s="981"/>
      <c r="K534" s="981"/>
    </row>
    <row r="535" spans="1:11">
      <c r="A535" s="981"/>
      <c r="B535" s="981"/>
      <c r="C535" s="981"/>
      <c r="D535" s="981"/>
      <c r="E535" s="981"/>
      <c r="F535" s="981"/>
      <c r="G535" s="981"/>
      <c r="H535" s="981"/>
      <c r="I535" s="981"/>
      <c r="J535" s="981"/>
      <c r="K535" s="981"/>
    </row>
  </sheetData>
  <mergeCells count="43">
    <mergeCell ref="A336:K336"/>
    <mergeCell ref="A337:K337"/>
    <mergeCell ref="A338:K338"/>
    <mergeCell ref="A339:K339"/>
    <mergeCell ref="A501:K535"/>
    <mergeCell ref="A372:K372"/>
    <mergeCell ref="A373:K373"/>
    <mergeCell ref="A374:K374"/>
    <mergeCell ref="A375:K375"/>
    <mergeCell ref="A376:K376"/>
    <mergeCell ref="A381:G382"/>
    <mergeCell ref="A404:L404"/>
    <mergeCell ref="A405:D405"/>
    <mergeCell ref="A409:K409"/>
    <mergeCell ref="A161:G161"/>
    <mergeCell ref="A335:K335"/>
    <mergeCell ref="A328:G331"/>
    <mergeCell ref="A327:G327"/>
    <mergeCell ref="A317:K317"/>
    <mergeCell ref="A285:F285"/>
    <mergeCell ref="A500:K500"/>
    <mergeCell ref="A413:K413"/>
    <mergeCell ref="A345:G346"/>
    <mergeCell ref="A368:F368"/>
    <mergeCell ref="A369:D369"/>
    <mergeCell ref="A410:K410"/>
    <mergeCell ref="A473:K473"/>
    <mergeCell ref="A474:K496"/>
    <mergeCell ref="A411:K411"/>
    <mergeCell ref="A412:K412"/>
    <mergeCell ref="A144:K144"/>
    <mergeCell ref="A58:L64"/>
    <mergeCell ref="A73:L76"/>
    <mergeCell ref="A85:L92"/>
    <mergeCell ref="A96:L103"/>
    <mergeCell ref="A143:K143"/>
    <mergeCell ref="A318:K318"/>
    <mergeCell ref="A262:G263"/>
    <mergeCell ref="A166:B166"/>
    <mergeCell ref="A215:B215"/>
    <mergeCell ref="A216:B216"/>
    <mergeCell ref="A219:L223"/>
    <mergeCell ref="A255:L25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841"/>
  <sheetViews>
    <sheetView zoomScale="70" zoomScaleNormal="70" workbookViewId="0">
      <selection activeCell="D148" sqref="D148:E169"/>
    </sheetView>
  </sheetViews>
  <sheetFormatPr defaultRowHeight="14.25"/>
  <cols>
    <col min="1" max="1" width="52.3984375" bestFit="1" customWidth="1"/>
    <col min="2" max="2" width="33.1328125" bestFit="1" customWidth="1"/>
    <col min="3" max="3" width="27.73046875" bestFit="1" customWidth="1"/>
    <col min="4" max="4" width="27.265625" bestFit="1" customWidth="1"/>
    <col min="5" max="5" width="26.265625" customWidth="1"/>
    <col min="6" max="6" width="14.1328125" bestFit="1" customWidth="1"/>
    <col min="7" max="7" width="12.73046875" customWidth="1"/>
    <col min="8" max="8" width="42.59765625" bestFit="1" customWidth="1"/>
    <col min="9" max="9" width="20.86328125" bestFit="1" customWidth="1"/>
    <col min="10" max="10" width="11.3984375" customWidth="1"/>
    <col min="11" max="11" width="9.59765625" bestFit="1" customWidth="1"/>
    <col min="12" max="12" width="9.1328125" bestFit="1" customWidth="1"/>
  </cols>
  <sheetData>
    <row r="1" spans="1:12" s="163" customFormat="1">
      <c r="A1" s="164">
        <v>1</v>
      </c>
    </row>
    <row r="2" spans="1:12" ht="15.75">
      <c r="A2" s="8" t="s">
        <v>95</v>
      </c>
      <c r="B2" s="4"/>
      <c r="C2" s="4"/>
      <c r="D2" s="4"/>
      <c r="E2" s="4"/>
      <c r="F2" s="9"/>
      <c r="J2" s="10"/>
      <c r="K2" s="10"/>
      <c r="L2" s="10"/>
    </row>
    <row r="3" spans="1:12" ht="15.75">
      <c r="A3" s="4"/>
      <c r="B3" s="4"/>
      <c r="C3" s="4"/>
      <c r="D3" s="4"/>
      <c r="E3" s="4"/>
      <c r="F3" s="9"/>
      <c r="J3" s="10"/>
      <c r="K3" s="10"/>
      <c r="L3" s="10"/>
    </row>
    <row r="4" spans="1:12" ht="15.4">
      <c r="A4" s="11" t="s">
        <v>96</v>
      </c>
      <c r="B4" s="1068" t="s">
        <v>97</v>
      </c>
      <c r="C4" s="1069"/>
      <c r="D4" s="12" t="s">
        <v>98</v>
      </c>
      <c r="E4" s="12" t="s">
        <v>99</v>
      </c>
      <c r="F4" s="13" t="s">
        <v>100</v>
      </c>
      <c r="J4" s="10"/>
      <c r="K4" s="10"/>
      <c r="L4" s="10"/>
    </row>
    <row r="5" spans="1:12" ht="15.4">
      <c r="A5" s="14"/>
      <c r="B5" s="1068"/>
      <c r="C5" s="1069"/>
      <c r="D5" s="15" t="s">
        <v>101</v>
      </c>
      <c r="E5" s="15" t="s">
        <v>102</v>
      </c>
      <c r="F5" s="15" t="s">
        <v>103</v>
      </c>
      <c r="G5" s="1259"/>
      <c r="J5" s="10"/>
      <c r="K5" s="10"/>
      <c r="L5" s="10"/>
    </row>
    <row r="6" spans="1:12" ht="15.4">
      <c r="A6" s="16" t="s">
        <v>104</v>
      </c>
      <c r="B6" s="17" t="s">
        <v>105</v>
      </c>
      <c r="C6" s="18"/>
      <c r="D6" s="16">
        <v>0</v>
      </c>
      <c r="E6" s="16">
        <v>98.41</v>
      </c>
      <c r="F6" s="16">
        <v>33.82</v>
      </c>
      <c r="G6">
        <f>D6+E6-F6</f>
        <v>64.59</v>
      </c>
      <c r="J6" s="10"/>
      <c r="K6" s="10"/>
      <c r="L6" s="10"/>
    </row>
    <row r="7" spans="1:12" ht="15.4">
      <c r="A7" s="16" t="s">
        <v>106</v>
      </c>
      <c r="B7" s="17" t="s">
        <v>107</v>
      </c>
      <c r="C7" s="18"/>
      <c r="D7" s="16">
        <v>0</v>
      </c>
      <c r="E7" s="16">
        <v>81</v>
      </c>
      <c r="F7" s="16">
        <v>30.87</v>
      </c>
      <c r="G7">
        <f t="shared" ref="G7:G13" si="0">D7+E7-F7</f>
        <v>50.129999999999995</v>
      </c>
      <c r="J7" s="10"/>
      <c r="K7" s="10"/>
      <c r="L7" s="10"/>
    </row>
    <row r="8" spans="1:12" ht="15.4">
      <c r="A8" s="16" t="s">
        <v>108</v>
      </c>
      <c r="B8" s="789" t="s">
        <v>109</v>
      </c>
      <c r="C8" s="1257"/>
      <c r="D8" s="1258">
        <v>3.31</v>
      </c>
      <c r="E8" s="1258">
        <v>14.79</v>
      </c>
      <c r="F8" s="1258">
        <v>42.83</v>
      </c>
      <c r="G8">
        <f t="shared" si="0"/>
        <v>-24.73</v>
      </c>
      <c r="J8" s="10"/>
      <c r="K8" s="10"/>
      <c r="L8" s="10"/>
    </row>
    <row r="9" spans="1:12" ht="15.4">
      <c r="A9" s="16" t="s">
        <v>110</v>
      </c>
      <c r="B9" s="17" t="s">
        <v>111</v>
      </c>
      <c r="C9" s="18"/>
      <c r="D9" s="16">
        <v>2.46</v>
      </c>
      <c r="E9" s="16">
        <v>80.010000000000005</v>
      </c>
      <c r="F9" s="16">
        <v>23.78</v>
      </c>
      <c r="G9">
        <f t="shared" si="0"/>
        <v>58.69</v>
      </c>
      <c r="J9" s="10"/>
      <c r="K9" s="10"/>
      <c r="L9" s="10"/>
    </row>
    <row r="10" spans="1:12" ht="15.4">
      <c r="A10" s="16" t="s">
        <v>112</v>
      </c>
      <c r="B10" s="17" t="s">
        <v>113</v>
      </c>
      <c r="C10" s="18"/>
      <c r="D10" s="16">
        <v>0</v>
      </c>
      <c r="E10" s="16">
        <v>77.010000000000005</v>
      </c>
      <c r="F10" s="16">
        <v>61.52</v>
      </c>
      <c r="G10">
        <f t="shared" si="0"/>
        <v>15.490000000000002</v>
      </c>
      <c r="J10" s="10"/>
      <c r="K10" s="10"/>
      <c r="L10" s="10"/>
    </row>
    <row r="11" spans="1:12" ht="15.4">
      <c r="A11" s="16" t="s">
        <v>114</v>
      </c>
      <c r="B11" s="17" t="s">
        <v>115</v>
      </c>
      <c r="C11" s="18"/>
      <c r="D11" s="16">
        <v>0</v>
      </c>
      <c r="E11" s="16">
        <v>91.89</v>
      </c>
      <c r="F11" s="16">
        <v>18.809999999999999</v>
      </c>
      <c r="G11">
        <f t="shared" si="0"/>
        <v>73.08</v>
      </c>
      <c r="J11" s="10"/>
      <c r="K11" s="10"/>
      <c r="L11" s="10"/>
    </row>
    <row r="12" spans="1:12" ht="15.4">
      <c r="A12" s="16" t="s">
        <v>116</v>
      </c>
      <c r="B12" s="17" t="s">
        <v>117</v>
      </c>
      <c r="C12" s="18"/>
      <c r="D12" s="16">
        <v>0</v>
      </c>
      <c r="E12" s="16">
        <v>5.01</v>
      </c>
      <c r="F12" s="16">
        <v>0</v>
      </c>
      <c r="G12">
        <f t="shared" si="0"/>
        <v>5.01</v>
      </c>
      <c r="J12" s="10"/>
      <c r="K12" s="10"/>
      <c r="L12" s="10"/>
    </row>
    <row r="13" spans="1:12" ht="15.4">
      <c r="A13" s="16" t="s">
        <v>118</v>
      </c>
      <c r="B13" s="17" t="s">
        <v>119</v>
      </c>
      <c r="C13" s="18"/>
      <c r="D13" s="16">
        <v>3</v>
      </c>
      <c r="E13" s="16">
        <v>41.21</v>
      </c>
      <c r="F13" s="16">
        <v>17.14</v>
      </c>
      <c r="G13">
        <f t="shared" si="0"/>
        <v>27.07</v>
      </c>
      <c r="J13" s="10"/>
      <c r="K13" s="10"/>
      <c r="L13" s="10"/>
    </row>
    <row r="14" spans="1:12" ht="15.4">
      <c r="A14" s="19"/>
      <c r="B14" s="19"/>
      <c r="C14" s="9"/>
      <c r="D14" s="19"/>
      <c r="E14" s="19"/>
      <c r="F14" s="19"/>
      <c r="J14" s="10"/>
      <c r="K14" s="10"/>
      <c r="L14" s="10"/>
    </row>
    <row r="15" spans="1:12" ht="15.75">
      <c r="A15" s="8" t="s">
        <v>120</v>
      </c>
      <c r="B15" s="4"/>
      <c r="C15" s="4"/>
      <c r="D15" s="4"/>
      <c r="E15" s="4"/>
      <c r="F15" s="9"/>
      <c r="J15" s="10"/>
      <c r="K15" s="10"/>
      <c r="L15" s="10"/>
    </row>
    <row r="16" spans="1:12" ht="15.75">
      <c r="A16" s="8"/>
      <c r="B16" s="4"/>
      <c r="C16" s="4"/>
      <c r="D16" s="4"/>
      <c r="E16" s="4"/>
      <c r="F16" s="9"/>
      <c r="J16" s="10"/>
      <c r="K16" s="10"/>
      <c r="L16" s="10"/>
    </row>
    <row r="17" spans="1:12">
      <c r="A17" s="20" t="s">
        <v>121</v>
      </c>
      <c r="B17" s="21" t="s">
        <v>11</v>
      </c>
      <c r="C17" s="22" t="s">
        <v>122</v>
      </c>
      <c r="D17" s="20" t="s">
        <v>123</v>
      </c>
      <c r="E17" s="21" t="s">
        <v>124</v>
      </c>
      <c r="F17" s="22" t="s">
        <v>122</v>
      </c>
      <c r="G17" s="20" t="s">
        <v>125</v>
      </c>
      <c r="H17" s="21" t="s">
        <v>126</v>
      </c>
      <c r="I17" s="22" t="s">
        <v>122</v>
      </c>
      <c r="J17" s="10"/>
      <c r="K17" s="10"/>
      <c r="L17" s="10"/>
    </row>
    <row r="18" spans="1:12" ht="15.75">
      <c r="A18" s="4"/>
      <c r="B18" s="23" t="s">
        <v>93</v>
      </c>
      <c r="C18" s="4"/>
      <c r="D18" s="4"/>
      <c r="E18" s="23" t="s">
        <v>127</v>
      </c>
      <c r="F18" s="4"/>
      <c r="G18" s="4"/>
      <c r="H18" s="23" t="s">
        <v>127</v>
      </c>
      <c r="I18" s="4"/>
      <c r="J18" s="10"/>
      <c r="K18" s="10"/>
      <c r="L18" s="10"/>
    </row>
    <row r="19" spans="1:12">
      <c r="A19" s="10"/>
      <c r="B19" s="10"/>
      <c r="C19" s="10"/>
      <c r="D19" s="10"/>
      <c r="E19" s="10"/>
      <c r="F19" s="10"/>
      <c r="G19" s="10"/>
      <c r="H19" s="10"/>
      <c r="I19" s="10"/>
      <c r="J19" s="10"/>
      <c r="K19" s="10"/>
      <c r="L19" s="10"/>
    </row>
    <row r="20" spans="1:12">
      <c r="A20" s="10"/>
      <c r="B20" s="10"/>
      <c r="C20" s="10"/>
      <c r="D20" s="10"/>
      <c r="E20" s="10"/>
      <c r="F20" s="10"/>
      <c r="G20" s="10"/>
      <c r="H20" s="10"/>
      <c r="I20" s="10"/>
      <c r="J20" s="10"/>
      <c r="K20" s="10"/>
      <c r="L20" s="10"/>
    </row>
    <row r="21" spans="1:12">
      <c r="A21" s="10"/>
      <c r="B21" s="10"/>
      <c r="C21" s="10"/>
      <c r="D21" s="10"/>
      <c r="E21" s="10"/>
      <c r="F21" s="10"/>
      <c r="G21" s="10"/>
      <c r="H21" s="10"/>
      <c r="I21" s="10"/>
      <c r="J21" s="10"/>
      <c r="K21" s="10"/>
      <c r="L21" s="10"/>
    </row>
    <row r="22" spans="1:12" ht="14.65" customHeight="1">
      <c r="A22" s="1070" t="s">
        <v>128</v>
      </c>
      <c r="B22" s="1071"/>
      <c r="C22" s="1071"/>
      <c r="D22" s="1071"/>
      <c r="E22" s="1071"/>
      <c r="F22" s="1071"/>
      <c r="G22" s="1071"/>
      <c r="H22" s="1071"/>
      <c r="I22" s="1071"/>
      <c r="J22" s="1071"/>
      <c r="K22" s="1071"/>
      <c r="L22" s="1072"/>
    </row>
    <row r="23" spans="1:12">
      <c r="A23" s="1073"/>
      <c r="B23" s="1074"/>
      <c r="C23" s="1074"/>
      <c r="D23" s="1074"/>
      <c r="E23" s="1074"/>
      <c r="F23" s="1074"/>
      <c r="G23" s="1074"/>
      <c r="H23" s="1074"/>
      <c r="I23" s="1074"/>
      <c r="J23" s="1074"/>
      <c r="K23" s="1074"/>
      <c r="L23" s="1075"/>
    </row>
    <row r="24" spans="1:12">
      <c r="A24" s="1073"/>
      <c r="B24" s="1074"/>
      <c r="C24" s="1074"/>
      <c r="D24" s="1074"/>
      <c r="E24" s="1074"/>
      <c r="F24" s="1074"/>
      <c r="G24" s="1074"/>
      <c r="H24" s="1074"/>
      <c r="I24" s="1074"/>
      <c r="J24" s="1074"/>
      <c r="K24" s="1074"/>
      <c r="L24" s="1075"/>
    </row>
    <row r="25" spans="1:12">
      <c r="A25" s="1076"/>
      <c r="B25" s="1077"/>
      <c r="C25" s="1077"/>
      <c r="D25" s="1077"/>
      <c r="E25" s="1077"/>
      <c r="F25" s="1077"/>
      <c r="G25" s="1077"/>
      <c r="H25" s="1077"/>
      <c r="I25" s="1077"/>
      <c r="J25" s="1077"/>
      <c r="K25" s="1077"/>
      <c r="L25" s="1078"/>
    </row>
    <row r="27" spans="1:12" ht="13.25" customHeight="1">
      <c r="B27" s="790"/>
      <c r="C27" s="1"/>
    </row>
    <row r="28" spans="1:12" ht="13.25" customHeight="1">
      <c r="B28" s="791"/>
    </row>
    <row r="29" spans="1:12" ht="13.25" customHeight="1">
      <c r="B29" s="790"/>
    </row>
    <row r="30" spans="1:12" ht="13.25" customHeight="1"/>
    <row r="31" spans="1:12" ht="13.25" customHeight="1"/>
    <row r="32" spans="1:12" ht="13.25" customHeight="1">
      <c r="B32" s="791"/>
    </row>
    <row r="33" spans="1:12" ht="13.25" customHeight="1"/>
    <row r="34" spans="1:12" ht="13.25" customHeight="1"/>
    <row r="35" spans="1:12" s="2" customFormat="1">
      <c r="A35" s="161">
        <v>2</v>
      </c>
    </row>
    <row r="37" spans="1:12" ht="15.75">
      <c r="A37" s="10"/>
      <c r="B37" s="3" t="s">
        <v>129</v>
      </c>
      <c r="C37" s="4"/>
      <c r="D37" s="4"/>
      <c r="E37" s="4"/>
      <c r="F37" s="4"/>
      <c r="G37" s="4"/>
      <c r="H37" s="4"/>
      <c r="I37" s="4"/>
      <c r="J37" s="4"/>
      <c r="K37" s="4"/>
      <c r="L37" s="10"/>
    </row>
    <row r="38" spans="1:12" ht="15.75">
      <c r="A38" s="10"/>
      <c r="B38" s="4"/>
      <c r="C38" s="4"/>
      <c r="D38" s="4"/>
      <c r="E38" s="4"/>
      <c r="F38" s="4"/>
      <c r="G38" s="4"/>
      <c r="H38" s="4"/>
      <c r="I38" s="4"/>
      <c r="J38" s="4"/>
      <c r="K38" s="4"/>
      <c r="L38" s="10"/>
    </row>
    <row r="39" spans="1:12" ht="15.75">
      <c r="A39" s="10"/>
      <c r="B39" s="4"/>
      <c r="C39" s="24" t="s">
        <v>1</v>
      </c>
      <c r="D39" s="784" t="s">
        <v>130</v>
      </c>
      <c r="E39" s="6" t="s">
        <v>131</v>
      </c>
      <c r="F39" s="6" t="s">
        <v>132</v>
      </c>
      <c r="G39" s="4"/>
      <c r="H39" s="8" t="s">
        <v>133</v>
      </c>
      <c r="I39" s="4"/>
      <c r="J39" s="4"/>
      <c r="K39" s="4"/>
      <c r="L39" s="10"/>
    </row>
    <row r="40" spans="1:12" ht="15.75">
      <c r="A40" s="10"/>
      <c r="B40" s="4"/>
      <c r="C40" s="7" t="s">
        <v>134</v>
      </c>
      <c r="D40" s="4">
        <v>200</v>
      </c>
      <c r="E40" s="4">
        <v>200</v>
      </c>
      <c r="F40" s="4">
        <v>200</v>
      </c>
      <c r="G40" s="4"/>
      <c r="H40" s="8" t="s">
        <v>135</v>
      </c>
      <c r="I40" s="4"/>
      <c r="J40" s="4"/>
      <c r="K40" s="4"/>
      <c r="L40" s="10"/>
    </row>
    <row r="41" spans="1:12" ht="15.75">
      <c r="A41" s="10"/>
      <c r="B41" s="4"/>
      <c r="C41" s="25" t="s">
        <v>136</v>
      </c>
      <c r="D41" s="4">
        <v>280</v>
      </c>
      <c r="E41" s="4">
        <v>280</v>
      </c>
      <c r="F41" s="4">
        <v>280</v>
      </c>
      <c r="G41" s="4"/>
      <c r="H41" s="8"/>
      <c r="I41" s="4"/>
      <c r="J41" s="4"/>
      <c r="K41" s="4"/>
      <c r="L41" s="10"/>
    </row>
    <row r="42" spans="1:12" ht="15.75">
      <c r="A42" s="10"/>
      <c r="B42" s="4"/>
      <c r="C42" s="26" t="s">
        <v>58</v>
      </c>
      <c r="D42" s="27">
        <f>D40+D41</f>
        <v>480</v>
      </c>
      <c r="E42" s="27">
        <f>E40+E41</f>
        <v>480</v>
      </c>
      <c r="F42" s="27">
        <f>F40+F41</f>
        <v>480</v>
      </c>
      <c r="G42" s="4"/>
      <c r="H42" s="4"/>
      <c r="I42" s="4"/>
      <c r="J42" s="4"/>
      <c r="K42" s="4"/>
      <c r="L42" s="10"/>
    </row>
    <row r="43" spans="1:12" ht="15.75">
      <c r="A43" s="10"/>
      <c r="B43" s="4"/>
      <c r="C43" s="28"/>
      <c r="D43" s="4"/>
      <c r="E43" s="4"/>
      <c r="F43" s="4"/>
      <c r="G43" s="4"/>
      <c r="H43" s="29" t="s">
        <v>94</v>
      </c>
      <c r="I43" s="30">
        <v>5000</v>
      </c>
      <c r="J43" s="4"/>
      <c r="K43" s="4"/>
      <c r="L43" s="10"/>
    </row>
    <row r="44" spans="1:12" ht="15.75">
      <c r="A44" s="10"/>
      <c r="B44" s="4"/>
      <c r="C44" s="28"/>
      <c r="D44" s="4"/>
      <c r="E44" s="4"/>
      <c r="F44" s="4"/>
      <c r="G44" s="4"/>
      <c r="H44" s="29" t="s">
        <v>127</v>
      </c>
      <c r="I44" s="30">
        <v>1095</v>
      </c>
      <c r="J44" s="4"/>
      <c r="K44" s="4"/>
      <c r="L44" s="10"/>
    </row>
    <row r="45" spans="1:12" ht="15.75">
      <c r="A45" s="10"/>
      <c r="B45" s="4"/>
      <c r="C45" s="28"/>
      <c r="D45" s="4"/>
      <c r="E45" s="4"/>
      <c r="F45" s="4"/>
      <c r="G45" s="4"/>
      <c r="H45" s="31" t="s">
        <v>137</v>
      </c>
      <c r="I45" s="32">
        <f>I43-I44</f>
        <v>3905</v>
      </c>
      <c r="J45" s="4"/>
      <c r="K45" s="4"/>
      <c r="L45" s="10"/>
    </row>
    <row r="46" spans="1:12" ht="15.75">
      <c r="A46" s="10"/>
      <c r="B46" s="4"/>
      <c r="C46" s="24" t="s">
        <v>138</v>
      </c>
      <c r="D46" s="6" t="s">
        <v>130</v>
      </c>
      <c r="E46" s="6" t="s">
        <v>131</v>
      </c>
      <c r="F46" s="784" t="s">
        <v>132</v>
      </c>
      <c r="G46" s="4"/>
      <c r="H46" s="7"/>
      <c r="I46" s="30"/>
      <c r="J46" s="4"/>
      <c r="K46" s="4"/>
      <c r="L46" s="10"/>
    </row>
    <row r="47" spans="1:12" ht="15.75">
      <c r="A47" s="10"/>
      <c r="B47" s="4"/>
      <c r="C47" s="25" t="s">
        <v>139</v>
      </c>
      <c r="D47" s="4">
        <v>240</v>
      </c>
      <c r="E47" s="4">
        <v>60</v>
      </c>
      <c r="F47" s="5">
        <v>90</v>
      </c>
      <c r="G47" s="28"/>
      <c r="H47" s="29" t="s">
        <v>140</v>
      </c>
      <c r="I47" s="30">
        <v>3000</v>
      </c>
      <c r="J47" s="28"/>
      <c r="K47" s="28"/>
      <c r="L47" s="10"/>
    </row>
    <row r="48" spans="1:12" ht="15.75">
      <c r="A48" s="10"/>
      <c r="B48" s="4"/>
      <c r="C48" s="25" t="s">
        <v>141</v>
      </c>
      <c r="D48" s="4">
        <v>240</v>
      </c>
      <c r="E48" s="4">
        <v>420</v>
      </c>
      <c r="F48" s="5">
        <v>390</v>
      </c>
      <c r="G48" s="28"/>
      <c r="H48" s="31" t="s">
        <v>92</v>
      </c>
      <c r="I48" s="32">
        <f>I45-I47</f>
        <v>905</v>
      </c>
      <c r="J48" s="28"/>
      <c r="K48" s="28"/>
      <c r="L48" s="10"/>
    </row>
    <row r="49" spans="1:12" ht="15.75">
      <c r="A49" s="10"/>
      <c r="B49" s="4"/>
      <c r="C49" s="26" t="s">
        <v>58</v>
      </c>
      <c r="D49" s="27">
        <f>D47+D48</f>
        <v>480</v>
      </c>
      <c r="E49" s="27">
        <f>E47+E48</f>
        <v>480</v>
      </c>
      <c r="F49" s="785">
        <f>F47+F48</f>
        <v>480</v>
      </c>
      <c r="G49" s="28"/>
      <c r="H49" s="33"/>
      <c r="I49" s="28"/>
      <c r="J49" s="28"/>
      <c r="K49" s="28"/>
      <c r="L49" s="10"/>
    </row>
    <row r="50" spans="1:12" ht="15.75">
      <c r="A50" s="10"/>
      <c r="B50" s="4"/>
      <c r="C50" s="28"/>
      <c r="D50" s="4"/>
      <c r="E50" s="28"/>
      <c r="F50" s="4"/>
      <c r="G50" s="28"/>
      <c r="H50" s="33"/>
      <c r="I50" s="28"/>
      <c r="J50" s="28"/>
      <c r="K50" s="28"/>
      <c r="L50" s="10"/>
    </row>
    <row r="51" spans="1:12" ht="15.75">
      <c r="A51" s="10"/>
      <c r="B51" s="4"/>
      <c r="C51" s="28"/>
      <c r="D51" s="4"/>
      <c r="E51" s="28"/>
      <c r="F51" s="4"/>
      <c r="G51" s="28"/>
      <c r="H51" s="33"/>
      <c r="I51" s="28"/>
      <c r="J51" s="28"/>
      <c r="K51" s="28"/>
      <c r="L51" s="10"/>
    </row>
    <row r="52" spans="1:12" ht="15.75">
      <c r="A52" s="10"/>
      <c r="B52" s="4"/>
      <c r="C52" s="28"/>
      <c r="D52" s="4"/>
      <c r="E52" s="28"/>
      <c r="F52" s="4"/>
      <c r="G52" s="28"/>
      <c r="H52" s="33"/>
      <c r="I52" s="28"/>
      <c r="J52" s="28"/>
      <c r="K52" s="28"/>
      <c r="L52" s="10"/>
    </row>
    <row r="53" spans="1:12" ht="15.75">
      <c r="A53" s="10"/>
      <c r="B53" s="8" t="s">
        <v>142</v>
      </c>
      <c r="C53" s="4"/>
      <c r="D53" s="4"/>
      <c r="E53" s="4"/>
      <c r="F53" s="4"/>
      <c r="G53" s="9"/>
      <c r="K53" s="28"/>
      <c r="L53" s="10"/>
    </row>
    <row r="54" spans="1:12" ht="15.75">
      <c r="A54" s="10"/>
      <c r="B54" s="8"/>
      <c r="C54" s="4"/>
      <c r="D54" s="4"/>
      <c r="E54" s="4"/>
      <c r="F54" s="4"/>
      <c r="G54" s="9"/>
      <c r="K54" s="28"/>
      <c r="L54" s="10"/>
    </row>
    <row r="55" spans="1:12" ht="15.75">
      <c r="A55" s="10"/>
      <c r="B55" s="20" t="s">
        <v>121</v>
      </c>
      <c r="C55" s="21" t="s">
        <v>11</v>
      </c>
      <c r="D55" s="22" t="s">
        <v>122</v>
      </c>
      <c r="E55" s="20" t="s">
        <v>123</v>
      </c>
      <c r="F55" s="21" t="s">
        <v>124</v>
      </c>
      <c r="G55" s="22" t="s">
        <v>122</v>
      </c>
      <c r="H55" s="20" t="s">
        <v>125</v>
      </c>
      <c r="I55" s="21" t="s">
        <v>126</v>
      </c>
      <c r="J55" s="22" t="s">
        <v>122</v>
      </c>
      <c r="K55" s="28"/>
      <c r="L55" s="10"/>
    </row>
    <row r="56" spans="1:12" ht="15.75">
      <c r="A56" s="10"/>
      <c r="B56" s="4"/>
      <c r="C56" s="23" t="s">
        <v>245</v>
      </c>
      <c r="D56" s="4"/>
      <c r="E56" s="4"/>
      <c r="F56" s="23" t="s">
        <v>127</v>
      </c>
      <c r="G56" s="4"/>
      <c r="H56" s="4"/>
      <c r="I56" s="23" t="s">
        <v>127</v>
      </c>
      <c r="J56" s="4"/>
      <c r="K56" s="28"/>
      <c r="L56" s="10"/>
    </row>
    <row r="57" spans="1:12">
      <c r="A57" s="10"/>
      <c r="B57" s="10"/>
      <c r="C57" s="10"/>
      <c r="D57" s="10"/>
      <c r="E57" s="10"/>
      <c r="F57" s="10"/>
      <c r="G57" s="10"/>
      <c r="H57" s="10"/>
      <c r="I57" s="10"/>
      <c r="J57" s="10"/>
      <c r="K57" s="10"/>
      <c r="L57" s="10"/>
    </row>
    <row r="58" spans="1:12">
      <c r="A58" s="10"/>
      <c r="B58" s="10"/>
      <c r="C58" s="10"/>
      <c r="D58" s="10"/>
      <c r="E58" s="10"/>
      <c r="F58" s="10"/>
      <c r="G58" s="10"/>
      <c r="H58" s="10"/>
      <c r="I58" s="10"/>
      <c r="J58" s="10"/>
      <c r="K58" s="10"/>
      <c r="L58" s="10"/>
    </row>
    <row r="59" spans="1:12">
      <c r="A59" s="10"/>
      <c r="B59" s="10"/>
      <c r="C59" s="10"/>
      <c r="D59" s="10"/>
      <c r="E59" s="10"/>
      <c r="F59" s="10"/>
      <c r="G59" s="10"/>
      <c r="H59" s="10"/>
      <c r="I59" s="10"/>
      <c r="J59" s="10"/>
      <c r="K59" s="10"/>
      <c r="L59" s="10"/>
    </row>
    <row r="60" spans="1:12">
      <c r="A60" s="1079" t="s">
        <v>862</v>
      </c>
      <c r="B60" s="1080"/>
      <c r="C60" s="1080"/>
      <c r="D60" s="1080"/>
      <c r="E60" s="1080"/>
      <c r="F60" s="1080"/>
      <c r="G60" s="1080"/>
      <c r="H60" s="1080"/>
      <c r="I60" s="1080"/>
      <c r="J60" s="1080"/>
      <c r="K60" s="1080"/>
      <c r="L60" s="1081"/>
    </row>
    <row r="61" spans="1:12">
      <c r="A61" s="1082"/>
      <c r="B61" s="1083"/>
      <c r="C61" s="1083"/>
      <c r="D61" s="1083"/>
      <c r="E61" s="1083"/>
      <c r="F61" s="1083"/>
      <c r="G61" s="1083"/>
      <c r="H61" s="1083"/>
      <c r="I61" s="1083"/>
      <c r="J61" s="1083"/>
      <c r="K61" s="1083"/>
      <c r="L61" s="1084"/>
    </row>
    <row r="62" spans="1:12">
      <c r="A62" s="1082"/>
      <c r="B62" s="1083"/>
      <c r="C62" s="1083"/>
      <c r="D62" s="1083"/>
      <c r="E62" s="1083"/>
      <c r="F62" s="1083"/>
      <c r="G62" s="1083"/>
      <c r="H62" s="1083"/>
      <c r="I62" s="1083"/>
      <c r="J62" s="1083"/>
      <c r="K62" s="1083"/>
      <c r="L62" s="1084"/>
    </row>
    <row r="63" spans="1:12">
      <c r="A63" s="1082"/>
      <c r="B63" s="1083"/>
      <c r="C63" s="1083"/>
      <c r="D63" s="1083"/>
      <c r="E63" s="1083"/>
      <c r="F63" s="1083"/>
      <c r="G63" s="1083"/>
      <c r="H63" s="1083"/>
      <c r="I63" s="1083"/>
      <c r="J63" s="1083"/>
      <c r="K63" s="1083"/>
      <c r="L63" s="1084"/>
    </row>
    <row r="64" spans="1:12">
      <c r="A64" s="1082"/>
      <c r="B64" s="1083"/>
      <c r="C64" s="1083"/>
      <c r="D64" s="1083"/>
      <c r="E64" s="1083"/>
      <c r="F64" s="1083"/>
      <c r="G64" s="1083"/>
      <c r="H64" s="1083"/>
      <c r="I64" s="1083"/>
      <c r="J64" s="1083"/>
      <c r="K64" s="1083"/>
      <c r="L64" s="1084"/>
    </row>
    <row r="65" spans="1:12">
      <c r="A65" s="1082"/>
      <c r="B65" s="1083"/>
      <c r="C65" s="1083"/>
      <c r="D65" s="1083"/>
      <c r="E65" s="1083"/>
      <c r="F65" s="1083"/>
      <c r="G65" s="1083"/>
      <c r="H65" s="1083"/>
      <c r="I65" s="1083"/>
      <c r="J65" s="1083"/>
      <c r="K65" s="1083"/>
      <c r="L65" s="1084"/>
    </row>
    <row r="66" spans="1:12">
      <c r="A66" s="1082"/>
      <c r="B66" s="1083"/>
      <c r="C66" s="1083"/>
      <c r="D66" s="1083"/>
      <c r="E66" s="1083"/>
      <c r="F66" s="1083"/>
      <c r="G66" s="1083"/>
      <c r="H66" s="1083"/>
      <c r="I66" s="1083"/>
      <c r="J66" s="1083"/>
      <c r="K66" s="1083"/>
      <c r="L66" s="1084"/>
    </row>
    <row r="67" spans="1:12">
      <c r="A67" s="1085"/>
      <c r="B67" s="1086"/>
      <c r="C67" s="1086"/>
      <c r="D67" s="1086"/>
      <c r="E67" s="1086"/>
      <c r="F67" s="1086"/>
      <c r="G67" s="1086"/>
      <c r="H67" s="1086"/>
      <c r="I67" s="1086"/>
      <c r="J67" s="1086"/>
      <c r="K67" s="1086"/>
      <c r="L67" s="1087"/>
    </row>
    <row r="70" spans="1:12" s="2" customFormat="1">
      <c r="A70" s="161">
        <v>3</v>
      </c>
    </row>
    <row r="72" spans="1:12" ht="23.25">
      <c r="A72" s="34" t="s">
        <v>143</v>
      </c>
      <c r="B72" s="35"/>
      <c r="C72" s="35"/>
      <c r="D72" s="10"/>
      <c r="E72" s="10"/>
      <c r="F72" s="10"/>
    </row>
    <row r="73" spans="1:12">
      <c r="A73" s="10"/>
      <c r="B73" s="10"/>
      <c r="C73" s="10"/>
      <c r="D73" s="10"/>
      <c r="E73" s="10"/>
      <c r="F73" s="10"/>
    </row>
    <row r="74" spans="1:12" ht="21">
      <c r="A74" s="36" t="s">
        <v>144</v>
      </c>
      <c r="B74" s="37"/>
      <c r="C74" s="37"/>
      <c r="D74" s="37"/>
      <c r="E74" s="37"/>
      <c r="F74" s="37"/>
    </row>
    <row r="75" spans="1:12" ht="21">
      <c r="A75" s="38" t="s">
        <v>145</v>
      </c>
      <c r="B75" s="39">
        <v>2019</v>
      </c>
      <c r="C75" s="39">
        <v>2020</v>
      </c>
      <c r="D75" s="10"/>
      <c r="E75" s="40"/>
      <c r="F75" s="40"/>
    </row>
    <row r="76" spans="1:12" ht="21">
      <c r="A76" s="41"/>
      <c r="B76" s="42"/>
      <c r="C76" s="42"/>
      <c r="D76" s="10"/>
      <c r="E76" s="40"/>
      <c r="F76" s="40"/>
    </row>
    <row r="77" spans="1:12" ht="21">
      <c r="A77" s="43" t="s">
        <v>8</v>
      </c>
      <c r="B77" s="44">
        <v>294600</v>
      </c>
      <c r="C77" s="44">
        <v>100000</v>
      </c>
      <c r="D77" s="10"/>
      <c r="E77" s="40"/>
      <c r="F77" s="40"/>
    </row>
    <row r="78" spans="1:12" ht="21">
      <c r="A78" s="43" t="s">
        <v>146</v>
      </c>
      <c r="B78" s="44">
        <v>10000</v>
      </c>
      <c r="C78" s="44">
        <v>20000</v>
      </c>
      <c r="D78" s="10"/>
      <c r="E78" s="40"/>
      <c r="F78" s="40"/>
    </row>
    <row r="79" spans="1:12" ht="21">
      <c r="A79" s="43" t="s">
        <v>147</v>
      </c>
      <c r="B79" s="44">
        <v>170000</v>
      </c>
      <c r="C79" s="44">
        <v>155000</v>
      </c>
      <c r="D79" s="10"/>
      <c r="E79" s="40"/>
      <c r="F79" s="40"/>
    </row>
    <row r="80" spans="1:12" ht="21">
      <c r="A80" s="43" t="s">
        <v>148</v>
      </c>
      <c r="B80" s="44">
        <v>12000</v>
      </c>
      <c r="C80" s="44">
        <v>20000</v>
      </c>
      <c r="D80" s="10"/>
      <c r="E80" s="40"/>
      <c r="F80" s="40"/>
    </row>
    <row r="81" spans="1:6" ht="21">
      <c r="A81" s="43" t="s">
        <v>149</v>
      </c>
      <c r="B81" s="44">
        <v>25000</v>
      </c>
      <c r="C81" s="44">
        <v>20000</v>
      </c>
      <c r="D81" s="10"/>
      <c r="E81" s="40"/>
      <c r="F81" s="40"/>
    </row>
    <row r="82" spans="1:6" ht="21">
      <c r="A82" s="43"/>
      <c r="B82" s="44"/>
      <c r="C82" s="44"/>
      <c r="D82" s="10"/>
      <c r="E82" s="40"/>
      <c r="F82" s="40"/>
    </row>
    <row r="83" spans="1:6" ht="21">
      <c r="A83" s="43"/>
      <c r="B83" s="44"/>
      <c r="C83" s="44"/>
      <c r="D83" s="10"/>
      <c r="E83" s="40"/>
      <c r="F83" s="40"/>
    </row>
    <row r="84" spans="1:6" ht="21">
      <c r="A84" s="43" t="s">
        <v>28</v>
      </c>
      <c r="B84" s="44">
        <v>5200000</v>
      </c>
      <c r="C84" s="44">
        <v>5000000</v>
      </c>
      <c r="D84" s="10"/>
      <c r="E84" s="40"/>
      <c r="F84" s="40"/>
    </row>
    <row r="85" spans="1:6" ht="21">
      <c r="A85" s="43" t="s">
        <v>30</v>
      </c>
      <c r="B85" s="44">
        <v>2000000</v>
      </c>
      <c r="C85" s="44">
        <v>1500000</v>
      </c>
      <c r="D85" s="10"/>
      <c r="E85" s="40"/>
      <c r="F85" s="40"/>
    </row>
    <row r="86" spans="1:6" ht="21">
      <c r="A86" s="43" t="s">
        <v>150</v>
      </c>
      <c r="B86" s="44">
        <v>-1450000</v>
      </c>
      <c r="C86" s="44">
        <v>-1000000</v>
      </c>
      <c r="D86" s="10"/>
      <c r="E86" s="40"/>
      <c r="F86" s="40"/>
    </row>
    <row r="87" spans="1:6" ht="21">
      <c r="A87" s="43" t="s">
        <v>151</v>
      </c>
      <c r="B87" s="44">
        <v>410000</v>
      </c>
      <c r="C87" s="44">
        <v>300000</v>
      </c>
      <c r="D87" s="10"/>
      <c r="E87" s="40"/>
      <c r="F87" s="40"/>
    </row>
    <row r="88" spans="1:6" ht="21">
      <c r="A88" s="43" t="s">
        <v>152</v>
      </c>
      <c r="B88" s="44">
        <v>-210000</v>
      </c>
      <c r="C88" s="44">
        <v>-200000</v>
      </c>
      <c r="D88" s="10"/>
      <c r="E88" s="40"/>
      <c r="F88" s="40"/>
    </row>
    <row r="89" spans="1:6" ht="21">
      <c r="A89" s="43"/>
      <c r="B89" s="44"/>
      <c r="C89" s="44"/>
      <c r="D89" s="10"/>
      <c r="E89" s="40"/>
      <c r="F89" s="40"/>
    </row>
    <row r="90" spans="1:6" ht="21.4" thickBot="1">
      <c r="A90" s="45" t="s">
        <v>52</v>
      </c>
      <c r="B90" s="46">
        <f>SUM(B77:B88)</f>
        <v>6461600</v>
      </c>
      <c r="C90" s="46">
        <f>SUM(C77:C88)</f>
        <v>5915000</v>
      </c>
      <c r="D90" s="10"/>
      <c r="E90" s="40"/>
      <c r="F90" s="40"/>
    </row>
    <row r="91" spans="1:6" ht="21.4" thickTop="1">
      <c r="A91" s="43"/>
      <c r="B91" s="44"/>
      <c r="C91" s="44"/>
      <c r="D91" s="10"/>
      <c r="E91" s="40"/>
      <c r="F91" s="40"/>
    </row>
    <row r="92" spans="1:6" ht="21">
      <c r="A92" s="43" t="s">
        <v>9</v>
      </c>
      <c r="B92" s="44">
        <v>120000</v>
      </c>
      <c r="C92" s="44">
        <v>90000</v>
      </c>
      <c r="D92" s="10"/>
      <c r="E92" s="40"/>
      <c r="F92" s="40"/>
    </row>
    <row r="93" spans="1:6" ht="21">
      <c r="A93" s="43" t="s">
        <v>153</v>
      </c>
      <c r="B93" s="44">
        <v>12000</v>
      </c>
      <c r="C93" s="44">
        <v>13000</v>
      </c>
      <c r="D93" s="10"/>
      <c r="E93" s="40"/>
      <c r="F93" s="40"/>
    </row>
    <row r="94" spans="1:6" ht="21">
      <c r="A94" s="43" t="s">
        <v>154</v>
      </c>
      <c r="B94" s="44">
        <v>40000</v>
      </c>
      <c r="C94" s="44">
        <v>30000</v>
      </c>
      <c r="D94" s="10"/>
      <c r="E94" s="40"/>
      <c r="F94" s="40"/>
    </row>
    <row r="95" spans="1:6" ht="21">
      <c r="A95" s="43" t="s">
        <v>155</v>
      </c>
      <c r="B95" s="44">
        <v>150000</v>
      </c>
      <c r="C95" s="44">
        <v>120000</v>
      </c>
      <c r="D95" s="10"/>
      <c r="E95" s="40"/>
      <c r="F95" s="40"/>
    </row>
    <row r="96" spans="1:6" ht="21">
      <c r="A96" s="43"/>
      <c r="B96" s="44"/>
      <c r="C96" s="44"/>
      <c r="D96" s="10"/>
      <c r="E96" s="40"/>
      <c r="F96" s="40"/>
    </row>
    <row r="97" spans="1:6" ht="21">
      <c r="A97" s="43"/>
      <c r="B97" s="44"/>
      <c r="C97" s="44"/>
      <c r="D97" s="10"/>
      <c r="E97" s="40"/>
      <c r="F97" s="40"/>
    </row>
    <row r="98" spans="1:6" ht="21">
      <c r="A98" s="43" t="s">
        <v>156</v>
      </c>
      <c r="B98" s="44">
        <v>650000</v>
      </c>
      <c r="C98" s="44">
        <v>540000</v>
      </c>
      <c r="D98" s="10"/>
      <c r="E98" s="40"/>
      <c r="F98" s="40"/>
    </row>
    <row r="99" spans="1:6" ht="21">
      <c r="A99" s="43" t="s">
        <v>34</v>
      </c>
      <c r="B99" s="44">
        <v>4500000</v>
      </c>
      <c r="C99" s="44">
        <v>4500000</v>
      </c>
      <c r="D99" s="10"/>
      <c r="E99" s="40"/>
      <c r="F99" s="40"/>
    </row>
    <row r="100" spans="1:6" ht="21">
      <c r="A100" s="43" t="s">
        <v>157</v>
      </c>
      <c r="B100" s="44">
        <v>100000</v>
      </c>
      <c r="C100" s="44">
        <v>100000</v>
      </c>
      <c r="D100" s="10"/>
      <c r="E100" s="40"/>
      <c r="F100" s="40"/>
    </row>
    <row r="101" spans="1:6" ht="21">
      <c r="A101" s="43" t="s">
        <v>158</v>
      </c>
      <c r="B101" s="44">
        <v>889600</v>
      </c>
      <c r="C101" s="44">
        <v>522000</v>
      </c>
      <c r="D101" s="10"/>
      <c r="E101" s="40"/>
      <c r="F101" s="40"/>
    </row>
    <row r="102" spans="1:6" ht="21">
      <c r="A102" s="41"/>
      <c r="B102" s="47"/>
      <c r="C102" s="47"/>
      <c r="D102" s="10"/>
      <c r="E102" s="40"/>
      <c r="F102" s="40"/>
    </row>
    <row r="103" spans="1:6" ht="21.4" thickBot="1">
      <c r="A103" s="45" t="s">
        <v>159</v>
      </c>
      <c r="B103" s="46">
        <f>SUM(B92:B101)</f>
        <v>6461600</v>
      </c>
      <c r="C103" s="46">
        <f>SUM(C92:C101)</f>
        <v>5915000</v>
      </c>
      <c r="D103" s="10"/>
      <c r="E103" s="40"/>
      <c r="F103" s="40"/>
    </row>
    <row r="104" spans="1:6" ht="21.4" thickTop="1">
      <c r="A104" s="48"/>
      <c r="B104" s="10"/>
      <c r="C104" s="10"/>
      <c r="D104" s="10"/>
      <c r="E104" s="40"/>
      <c r="F104" s="40"/>
    </row>
    <row r="105" spans="1:6" ht="21">
      <c r="A105" s="49" t="s">
        <v>160</v>
      </c>
      <c r="B105" s="40"/>
      <c r="C105" s="40"/>
      <c r="D105" s="40"/>
      <c r="E105" s="40"/>
      <c r="F105" s="40"/>
    </row>
    <row r="106" spans="1:6" ht="21">
      <c r="A106" s="40"/>
      <c r="B106" s="40"/>
      <c r="C106" s="40"/>
      <c r="D106" s="40"/>
      <c r="E106" s="40"/>
      <c r="F106" s="40"/>
    </row>
    <row r="107" spans="1:6" ht="21">
      <c r="A107" s="50" t="s">
        <v>161</v>
      </c>
      <c r="B107" s="51"/>
      <c r="C107" s="51"/>
      <c r="D107" s="51"/>
      <c r="E107" s="51"/>
      <c r="F107" s="52"/>
    </row>
    <row r="108" spans="1:6" ht="16.149999999999999" thickBot="1">
      <c r="A108" s="53" t="s">
        <v>162</v>
      </c>
      <c r="B108" s="54" t="s">
        <v>3</v>
      </c>
      <c r="C108" s="55" t="s">
        <v>127</v>
      </c>
      <c r="D108" s="54" t="s">
        <v>71</v>
      </c>
      <c r="E108" s="55" t="s">
        <v>163</v>
      </c>
      <c r="F108" s="56" t="s">
        <v>164</v>
      </c>
    </row>
    <row r="109" spans="1:6">
      <c r="A109" s="57"/>
      <c r="B109" s="58"/>
      <c r="C109" s="58"/>
      <c r="D109" s="58"/>
      <c r="E109" s="58"/>
      <c r="F109" s="58"/>
    </row>
    <row r="110" spans="1:6">
      <c r="A110" s="57" t="s">
        <v>165</v>
      </c>
      <c r="B110" s="59">
        <v>800000</v>
      </c>
      <c r="C110" s="59">
        <v>0</v>
      </c>
      <c r="D110" s="59">
        <v>20000</v>
      </c>
      <c r="E110" s="59">
        <v>14000</v>
      </c>
      <c r="F110" s="59">
        <v>766000</v>
      </c>
    </row>
    <row r="111" spans="1:6">
      <c r="A111" s="57" t="s">
        <v>74</v>
      </c>
      <c r="B111" s="59">
        <v>200000</v>
      </c>
      <c r="C111" s="59">
        <v>90000</v>
      </c>
      <c r="D111" s="59">
        <v>25000</v>
      </c>
      <c r="E111" s="59">
        <v>20000</v>
      </c>
      <c r="F111" s="59">
        <v>65000</v>
      </c>
    </row>
    <row r="112" spans="1:6">
      <c r="A112" s="57" t="s">
        <v>75</v>
      </c>
      <c r="B112" s="59">
        <v>100000</v>
      </c>
      <c r="C112" s="59">
        <v>65000</v>
      </c>
      <c r="D112" s="59">
        <v>12000</v>
      </c>
      <c r="E112" s="59">
        <v>15000</v>
      </c>
      <c r="F112" s="59">
        <v>8000</v>
      </c>
    </row>
    <row r="113" spans="1:7">
      <c r="A113" s="57" t="s">
        <v>76</v>
      </c>
      <c r="B113" s="59">
        <v>50000</v>
      </c>
      <c r="C113" s="59">
        <v>27500.000000000004</v>
      </c>
      <c r="D113" s="59">
        <v>5000</v>
      </c>
      <c r="E113" s="59">
        <v>6000</v>
      </c>
      <c r="F113" s="59">
        <v>11499.999999999996</v>
      </c>
    </row>
    <row r="114" spans="1:7">
      <c r="A114" s="57"/>
      <c r="B114" s="60"/>
      <c r="C114" s="60"/>
      <c r="D114" s="60"/>
      <c r="E114" s="60"/>
      <c r="F114" s="60"/>
    </row>
    <row r="115" spans="1:7" ht="16.149999999999999" thickBot="1">
      <c r="A115" s="53" t="s">
        <v>166</v>
      </c>
      <c r="B115" s="61">
        <v>1150000</v>
      </c>
      <c r="C115" s="61">
        <v>182500</v>
      </c>
      <c r="D115" s="61">
        <v>62000</v>
      </c>
      <c r="E115" s="61">
        <v>55000</v>
      </c>
      <c r="F115" s="61">
        <v>850500</v>
      </c>
    </row>
    <row r="116" spans="1:7">
      <c r="A116" s="42"/>
      <c r="B116" s="62"/>
      <c r="C116" s="42"/>
      <c r="D116" s="62"/>
      <c r="E116" s="42"/>
      <c r="F116" s="63"/>
    </row>
    <row r="117" spans="1:7">
      <c r="A117" s="42" t="s">
        <v>78</v>
      </c>
      <c r="B117" s="62"/>
      <c r="C117" s="42"/>
      <c r="D117" s="62"/>
      <c r="E117" s="42"/>
      <c r="F117" s="63"/>
    </row>
    <row r="118" spans="1:7">
      <c r="A118" s="42" t="s">
        <v>79</v>
      </c>
      <c r="B118" s="62"/>
      <c r="C118" s="42"/>
      <c r="D118" s="64">
        <v>30000</v>
      </c>
      <c r="E118" s="47">
        <v>6000</v>
      </c>
      <c r="F118" s="65">
        <v>36000</v>
      </c>
    </row>
    <row r="119" spans="1:7">
      <c r="A119" s="42" t="s">
        <v>80</v>
      </c>
      <c r="B119" s="62"/>
      <c r="C119" s="42"/>
      <c r="D119" s="64">
        <v>24000</v>
      </c>
      <c r="E119" s="47">
        <v>2500</v>
      </c>
      <c r="F119" s="65">
        <v>26500</v>
      </c>
    </row>
    <row r="120" spans="1:7">
      <c r="A120" s="42" t="s">
        <v>81</v>
      </c>
      <c r="B120" s="62"/>
      <c r="C120" s="42"/>
      <c r="D120" s="64">
        <v>12000</v>
      </c>
      <c r="E120" s="47">
        <v>2600</v>
      </c>
      <c r="F120" s="65">
        <v>14600</v>
      </c>
    </row>
    <row r="121" spans="1:7">
      <c r="A121" s="42" t="s">
        <v>82</v>
      </c>
      <c r="B121" s="62"/>
      <c r="C121" s="42"/>
      <c r="D121" s="64"/>
      <c r="E121" s="47">
        <v>3900</v>
      </c>
      <c r="F121" s="65">
        <v>3900</v>
      </c>
    </row>
    <row r="122" spans="1:7">
      <c r="A122" s="42" t="s">
        <v>83</v>
      </c>
      <c r="B122" s="62"/>
      <c r="C122" s="42"/>
      <c r="D122" s="64"/>
      <c r="E122" s="47"/>
      <c r="F122" s="65">
        <v>81000</v>
      </c>
    </row>
    <row r="123" spans="1:7" ht="14.65" thickBot="1">
      <c r="A123" s="66"/>
      <c r="B123" s="67"/>
      <c r="C123" s="66"/>
      <c r="D123" s="67"/>
      <c r="E123" s="66"/>
      <c r="F123" s="68"/>
      <c r="G123" s="750"/>
    </row>
    <row r="124" spans="1:7">
      <c r="A124" s="42"/>
      <c r="B124" s="62"/>
      <c r="C124" s="62"/>
      <c r="D124" s="62"/>
      <c r="E124" s="62"/>
      <c r="F124" s="63"/>
    </row>
    <row r="125" spans="1:7">
      <c r="A125" s="42" t="s">
        <v>85</v>
      </c>
      <c r="B125" s="62"/>
      <c r="C125" s="62"/>
      <c r="D125" s="62"/>
      <c r="E125" s="62"/>
      <c r="F125" s="63"/>
    </row>
    <row r="126" spans="1:7">
      <c r="A126" s="42" t="s">
        <v>86</v>
      </c>
      <c r="B126" s="62"/>
      <c r="C126" s="62"/>
      <c r="D126" s="62"/>
      <c r="E126" s="62"/>
      <c r="F126" s="47">
        <v>50000</v>
      </c>
    </row>
    <row r="127" spans="1:7">
      <c r="A127" s="42" t="s">
        <v>87</v>
      </c>
      <c r="B127" s="62"/>
      <c r="C127" s="62"/>
      <c r="D127" s="62"/>
      <c r="E127" s="62"/>
      <c r="F127" s="47">
        <v>50000</v>
      </c>
    </row>
    <row r="128" spans="1:7">
      <c r="A128" s="42" t="s">
        <v>88</v>
      </c>
      <c r="B128" s="62"/>
      <c r="C128" s="62"/>
      <c r="D128" s="62"/>
      <c r="E128" s="62"/>
      <c r="F128" s="47">
        <v>450000</v>
      </c>
    </row>
    <row r="129" spans="1:12">
      <c r="A129" s="42" t="s">
        <v>62</v>
      </c>
      <c r="B129" s="62"/>
      <c r="C129" s="62"/>
      <c r="D129" s="62"/>
      <c r="E129" s="62"/>
      <c r="F129" s="47">
        <v>200000</v>
      </c>
    </row>
    <row r="130" spans="1:12">
      <c r="A130" s="42" t="s">
        <v>167</v>
      </c>
      <c r="B130" s="62"/>
      <c r="C130" s="62"/>
      <c r="D130" s="62"/>
      <c r="E130" s="62"/>
      <c r="F130" s="47">
        <v>75000</v>
      </c>
    </row>
    <row r="131" spans="1:12">
      <c r="A131" s="42"/>
      <c r="B131" s="62"/>
      <c r="C131" s="62"/>
      <c r="D131" s="62"/>
      <c r="E131" s="62"/>
      <c r="F131" s="42"/>
    </row>
    <row r="132" spans="1:12" ht="14.65" thickBot="1">
      <c r="A132" s="66" t="s">
        <v>89</v>
      </c>
      <c r="B132" s="67"/>
      <c r="C132" s="67"/>
      <c r="D132" s="67"/>
      <c r="E132" s="67"/>
      <c r="F132" s="69">
        <v>94500</v>
      </c>
    </row>
    <row r="133" spans="1:12">
      <c r="A133" s="42" t="s">
        <v>90</v>
      </c>
      <c r="B133" s="62"/>
      <c r="C133" s="62"/>
      <c r="D133" s="62"/>
      <c r="E133" s="62"/>
      <c r="F133" s="47">
        <v>10000</v>
      </c>
    </row>
    <row r="134" spans="1:12">
      <c r="A134" s="60" t="s">
        <v>65</v>
      </c>
      <c r="B134" s="70"/>
      <c r="C134" s="70"/>
      <c r="D134" s="70"/>
      <c r="E134" s="70"/>
      <c r="F134" s="71">
        <v>84500</v>
      </c>
    </row>
    <row r="135" spans="1:12">
      <c r="A135" s="42" t="s">
        <v>91</v>
      </c>
      <c r="B135" s="62"/>
      <c r="C135" s="62"/>
      <c r="D135" s="62"/>
      <c r="E135" s="62"/>
      <c r="F135" s="47">
        <v>16900</v>
      </c>
    </row>
    <row r="136" spans="1:12" ht="16.149999999999999" thickBot="1">
      <c r="A136" s="53" t="s">
        <v>92</v>
      </c>
      <c r="B136" s="72"/>
      <c r="C136" s="72"/>
      <c r="D136" s="72"/>
      <c r="E136" s="72"/>
      <c r="F136" s="73">
        <v>67600</v>
      </c>
    </row>
    <row r="138" spans="1:12">
      <c r="A138" s="987" t="s">
        <v>168</v>
      </c>
      <c r="B138" s="988"/>
      <c r="C138" s="988"/>
      <c r="D138" s="988"/>
      <c r="E138" s="988"/>
      <c r="F138" s="988"/>
      <c r="G138" s="988"/>
      <c r="H138" s="988"/>
      <c r="I138" s="988"/>
      <c r="J138" s="988"/>
      <c r="K138" s="988"/>
      <c r="L138" s="989"/>
    </row>
    <row r="139" spans="1:12">
      <c r="A139" s="990"/>
      <c r="B139" s="981"/>
      <c r="C139" s="981"/>
      <c r="D139" s="981"/>
      <c r="E139" s="981"/>
      <c r="F139" s="981"/>
      <c r="G139" s="981"/>
      <c r="H139" s="981"/>
      <c r="I139" s="981"/>
      <c r="J139" s="981"/>
      <c r="K139" s="981"/>
      <c r="L139" s="991"/>
    </row>
    <row r="140" spans="1:12">
      <c r="A140" s="990"/>
      <c r="B140" s="981"/>
      <c r="C140" s="981"/>
      <c r="D140" s="981"/>
      <c r="E140" s="981"/>
      <c r="F140" s="981"/>
      <c r="G140" s="981"/>
      <c r="H140" s="981"/>
      <c r="I140" s="981"/>
      <c r="J140" s="981"/>
      <c r="K140" s="981"/>
      <c r="L140" s="991"/>
    </row>
    <row r="141" spans="1:12">
      <c r="A141" s="990"/>
      <c r="B141" s="981"/>
      <c r="C141" s="981"/>
      <c r="D141" s="981"/>
      <c r="E141" s="981"/>
      <c r="F141" s="981"/>
      <c r="G141" s="981"/>
      <c r="H141" s="981"/>
      <c r="I141" s="981"/>
      <c r="J141" s="981"/>
      <c r="K141" s="981"/>
      <c r="L141" s="991"/>
    </row>
    <row r="142" spans="1:12">
      <c r="A142" s="990"/>
      <c r="B142" s="981"/>
      <c r="C142" s="981"/>
      <c r="D142" s="981"/>
      <c r="E142" s="981"/>
      <c r="F142" s="981"/>
      <c r="G142" s="981"/>
      <c r="H142" s="981"/>
      <c r="I142" s="981"/>
      <c r="J142" s="981"/>
      <c r="K142" s="981"/>
      <c r="L142" s="991"/>
    </row>
    <row r="143" spans="1:12" ht="14.65" customHeight="1">
      <c r="A143" s="162"/>
    </row>
    <row r="144" spans="1:12" s="163" customFormat="1" ht="17.25" customHeight="1">
      <c r="A144" s="161">
        <v>4</v>
      </c>
    </row>
    <row r="145" spans="1:6" ht="23.25">
      <c r="A145" s="34" t="s">
        <v>143</v>
      </c>
      <c r="B145" s="35"/>
      <c r="C145" s="35"/>
      <c r="D145" s="10"/>
      <c r="E145" s="10"/>
      <c r="F145" s="10"/>
    </row>
    <row r="146" spans="1:6">
      <c r="A146" s="10"/>
      <c r="B146" s="10"/>
      <c r="C146" s="10"/>
      <c r="D146" s="10"/>
      <c r="E146" s="10"/>
      <c r="F146" s="10"/>
    </row>
    <row r="147" spans="1:6" ht="21">
      <c r="A147" s="36" t="s">
        <v>144</v>
      </c>
      <c r="B147" s="37"/>
      <c r="C147" s="37"/>
      <c r="D147" s="37"/>
      <c r="E147" s="37"/>
      <c r="F147" s="37"/>
    </row>
    <row r="148" spans="1:6" ht="21">
      <c r="A148" s="38" t="s">
        <v>145</v>
      </c>
      <c r="B148" s="39">
        <v>2019</v>
      </c>
      <c r="C148" s="39">
        <v>2020</v>
      </c>
      <c r="D148" s="10"/>
      <c r="E148" s="40"/>
      <c r="F148" s="40"/>
    </row>
    <row r="149" spans="1:6" ht="21">
      <c r="A149" s="41"/>
      <c r="B149" s="42"/>
      <c r="C149" s="42"/>
      <c r="D149" s="10"/>
      <c r="E149" s="40"/>
      <c r="F149" s="40"/>
    </row>
    <row r="150" spans="1:6" ht="21">
      <c r="A150" s="43" t="s">
        <v>8</v>
      </c>
      <c r="B150" s="786">
        <v>294600</v>
      </c>
      <c r="C150" s="786">
        <v>100000</v>
      </c>
      <c r="D150" s="10"/>
      <c r="E150" s="40"/>
      <c r="F150" s="40"/>
    </row>
    <row r="151" spans="1:6" ht="21">
      <c r="A151" s="43" t="s">
        <v>146</v>
      </c>
      <c r="B151" s="786">
        <v>10000</v>
      </c>
      <c r="C151" s="786">
        <v>20000</v>
      </c>
      <c r="D151" s="10"/>
      <c r="E151" s="40"/>
      <c r="F151" s="40"/>
    </row>
    <row r="152" spans="1:6" ht="21">
      <c r="A152" s="43" t="s">
        <v>147</v>
      </c>
      <c r="B152" s="786">
        <v>170000</v>
      </c>
      <c r="C152" s="786">
        <v>155000</v>
      </c>
      <c r="D152" s="10"/>
      <c r="E152" s="40"/>
      <c r="F152" s="40"/>
    </row>
    <row r="153" spans="1:6" ht="21">
      <c r="A153" s="43" t="s">
        <v>148</v>
      </c>
      <c r="B153" s="786">
        <v>12000</v>
      </c>
      <c r="C153" s="786">
        <v>20000</v>
      </c>
      <c r="D153" s="10"/>
      <c r="E153" s="40"/>
      <c r="F153" s="40"/>
    </row>
    <row r="154" spans="1:6" ht="21">
      <c r="A154" s="43" t="s">
        <v>149</v>
      </c>
      <c r="B154" s="786">
        <v>25000</v>
      </c>
      <c r="C154" s="786">
        <v>20000</v>
      </c>
      <c r="D154" s="10"/>
      <c r="E154" s="40"/>
      <c r="F154" s="40"/>
    </row>
    <row r="155" spans="1:6" ht="21">
      <c r="A155" s="43"/>
      <c r="B155" s="786"/>
      <c r="C155" s="786"/>
      <c r="D155" s="10"/>
      <c r="E155" s="40"/>
      <c r="F155" s="40"/>
    </row>
    <row r="156" spans="1:6" ht="21">
      <c r="A156" s="43"/>
      <c r="B156" s="786"/>
      <c r="C156" s="786"/>
      <c r="D156" s="10"/>
      <c r="E156" s="40"/>
      <c r="F156" s="40"/>
    </row>
    <row r="157" spans="1:6" ht="21">
      <c r="A157" s="43" t="s">
        <v>28</v>
      </c>
      <c r="B157" s="786">
        <v>5200000</v>
      </c>
      <c r="C157" s="786">
        <v>5000000</v>
      </c>
      <c r="D157" s="10"/>
      <c r="E157" s="40"/>
      <c r="F157" s="40"/>
    </row>
    <row r="158" spans="1:6" ht="21">
      <c r="A158" s="43" t="s">
        <v>30</v>
      </c>
      <c r="B158" s="786">
        <v>2000000</v>
      </c>
      <c r="C158" s="786">
        <v>1500000</v>
      </c>
      <c r="D158" s="10"/>
      <c r="E158" s="40"/>
      <c r="F158" s="40"/>
    </row>
    <row r="159" spans="1:6" ht="21">
      <c r="A159" s="43" t="s">
        <v>150</v>
      </c>
      <c r="B159" s="786">
        <v>-1450000</v>
      </c>
      <c r="C159" s="786">
        <v>-1000000</v>
      </c>
      <c r="D159" s="10"/>
      <c r="E159" s="40"/>
      <c r="F159" s="40"/>
    </row>
    <row r="160" spans="1:6" ht="21">
      <c r="A160" s="43" t="s">
        <v>151</v>
      </c>
      <c r="B160" s="786">
        <v>410000</v>
      </c>
      <c r="C160" s="786">
        <v>300000</v>
      </c>
      <c r="D160" s="10"/>
      <c r="E160" s="40"/>
      <c r="F160" s="40"/>
    </row>
    <row r="161" spans="1:6" ht="21">
      <c r="A161" s="43" t="s">
        <v>152</v>
      </c>
      <c r="B161" s="786">
        <v>-210000</v>
      </c>
      <c r="C161" s="786">
        <v>-200000</v>
      </c>
      <c r="D161" s="10"/>
      <c r="E161" s="40"/>
      <c r="F161" s="40"/>
    </row>
    <row r="162" spans="1:6" ht="21">
      <c r="A162" s="43"/>
      <c r="B162" s="44"/>
      <c r="C162" s="44"/>
      <c r="D162" s="10"/>
      <c r="E162" s="40"/>
      <c r="F162" s="40"/>
    </row>
    <row r="163" spans="1:6" ht="21.4" thickBot="1">
      <c r="A163" s="45" t="s">
        <v>52</v>
      </c>
      <c r="B163" s="46">
        <f>SUM(B150:B161)</f>
        <v>6461600</v>
      </c>
      <c r="C163" s="46">
        <f>SUM(C150:C161)</f>
        <v>5915000</v>
      </c>
      <c r="D163" s="10"/>
      <c r="E163" s="40"/>
      <c r="F163" s="40"/>
    </row>
    <row r="164" spans="1:6" ht="21.4" thickTop="1">
      <c r="A164" s="43"/>
      <c r="B164" s="786"/>
      <c r="C164" s="786"/>
      <c r="D164" s="10"/>
      <c r="E164" s="40"/>
      <c r="F164" s="40"/>
    </row>
    <row r="165" spans="1:6" ht="21">
      <c r="A165" s="43" t="s">
        <v>9</v>
      </c>
      <c r="B165" s="786">
        <v>120000</v>
      </c>
      <c r="C165" s="786">
        <v>90000</v>
      </c>
      <c r="D165" s="10"/>
      <c r="E165" s="40"/>
      <c r="F165" s="40"/>
    </row>
    <row r="166" spans="1:6" ht="21">
      <c r="A166" s="43" t="s">
        <v>153</v>
      </c>
      <c r="B166" s="786">
        <v>12000</v>
      </c>
      <c r="C166" s="786">
        <v>13000</v>
      </c>
      <c r="D166" s="10"/>
      <c r="E166" s="40"/>
      <c r="F166" s="40"/>
    </row>
    <row r="167" spans="1:6" ht="21">
      <c r="A167" s="43" t="s">
        <v>154</v>
      </c>
      <c r="B167" s="786">
        <v>40000</v>
      </c>
      <c r="C167" s="786">
        <v>30000</v>
      </c>
      <c r="D167" s="10"/>
      <c r="E167" s="40"/>
      <c r="F167" s="40"/>
    </row>
    <row r="168" spans="1:6" ht="21">
      <c r="A168" s="43" t="s">
        <v>155</v>
      </c>
      <c r="B168" s="786">
        <v>150000</v>
      </c>
      <c r="C168" s="786">
        <v>120000</v>
      </c>
      <c r="D168" s="10"/>
      <c r="E168" s="40"/>
      <c r="F168" s="40"/>
    </row>
    <row r="169" spans="1:6" ht="21">
      <c r="A169" s="43"/>
      <c r="B169" s="786"/>
      <c r="C169" s="786"/>
      <c r="D169" s="10"/>
      <c r="E169" s="40"/>
      <c r="F169" s="40"/>
    </row>
    <row r="170" spans="1:6" ht="21">
      <c r="A170" s="43"/>
      <c r="B170" s="786"/>
      <c r="C170" s="786"/>
      <c r="D170" s="10"/>
      <c r="E170" s="40"/>
      <c r="F170" s="40"/>
    </row>
    <row r="171" spans="1:6" ht="21">
      <c r="A171" s="43" t="s">
        <v>156</v>
      </c>
      <c r="B171" s="786">
        <v>650000</v>
      </c>
      <c r="C171" s="786">
        <v>540000</v>
      </c>
      <c r="D171" s="10"/>
      <c r="E171" s="40"/>
      <c r="F171" s="40"/>
    </row>
    <row r="172" spans="1:6" ht="21">
      <c r="A172" s="43" t="s">
        <v>34</v>
      </c>
      <c r="B172" s="786">
        <v>4500000</v>
      </c>
      <c r="C172" s="786">
        <v>4500000</v>
      </c>
      <c r="D172" s="10"/>
      <c r="E172" s="40"/>
      <c r="F172" s="40"/>
    </row>
    <row r="173" spans="1:6" ht="21">
      <c r="A173" s="43" t="s">
        <v>157</v>
      </c>
      <c r="B173" s="786">
        <v>100000</v>
      </c>
      <c r="C173" s="786">
        <v>100000</v>
      </c>
      <c r="D173" s="10"/>
      <c r="E173" s="40"/>
      <c r="F173" s="40"/>
    </row>
    <row r="174" spans="1:6" ht="21">
      <c r="A174" s="43" t="s">
        <v>158</v>
      </c>
      <c r="B174" s="786">
        <v>889600</v>
      </c>
      <c r="C174" s="786">
        <v>522000</v>
      </c>
      <c r="D174" s="10"/>
      <c r="E174" s="40"/>
      <c r="F174" s="40"/>
    </row>
    <row r="175" spans="1:6" ht="21">
      <c r="A175" s="41"/>
      <c r="B175" s="787"/>
      <c r="C175" s="787"/>
      <c r="D175" s="10"/>
      <c r="E175" s="40"/>
      <c r="F175" s="40"/>
    </row>
    <row r="176" spans="1:6" ht="21.4" thickBot="1">
      <c r="A176" s="45" t="s">
        <v>159</v>
      </c>
      <c r="B176" s="46">
        <f>SUM(B165:B174)</f>
        <v>6461600</v>
      </c>
      <c r="C176" s="46">
        <f>SUM(C165:C174)</f>
        <v>5915000</v>
      </c>
      <c r="D176" s="10"/>
      <c r="E176" s="40"/>
      <c r="F176" s="40"/>
    </row>
    <row r="177" spans="1:6" ht="21.4" thickTop="1">
      <c r="A177" s="48"/>
      <c r="B177" s="10"/>
      <c r="C177" s="10"/>
      <c r="D177" s="10"/>
      <c r="E177" s="40"/>
      <c r="F177" s="40"/>
    </row>
    <row r="178" spans="1:6" ht="21">
      <c r="A178" s="49" t="s">
        <v>160</v>
      </c>
      <c r="B178" s="40"/>
      <c r="C178" s="40"/>
      <c r="D178" s="40"/>
      <c r="E178" s="40"/>
      <c r="F178" s="40"/>
    </row>
    <row r="179" spans="1:6" ht="21">
      <c r="A179" s="40"/>
      <c r="B179" s="40"/>
      <c r="C179" s="40"/>
      <c r="D179" s="40"/>
      <c r="E179" s="40"/>
      <c r="F179" s="40"/>
    </row>
    <row r="180" spans="1:6" ht="21">
      <c r="A180" s="50" t="s">
        <v>161</v>
      </c>
      <c r="B180" s="51"/>
      <c r="C180" s="51"/>
      <c r="D180" s="51"/>
      <c r="E180" s="51"/>
      <c r="F180" s="52"/>
    </row>
    <row r="181" spans="1:6" ht="16.149999999999999" thickBot="1">
      <c r="A181" s="53" t="s">
        <v>162</v>
      </c>
      <c r="B181" s="54" t="s">
        <v>3</v>
      </c>
      <c r="C181" s="55" t="s">
        <v>127</v>
      </c>
      <c r="D181" s="54" t="s">
        <v>71</v>
      </c>
      <c r="E181" s="55" t="s">
        <v>163</v>
      </c>
      <c r="F181" s="56" t="s">
        <v>164</v>
      </c>
    </row>
    <row r="182" spans="1:6">
      <c r="A182" s="57"/>
      <c r="B182" s="58"/>
      <c r="C182" s="58"/>
      <c r="D182" s="58"/>
      <c r="E182" s="58"/>
      <c r="F182" s="58"/>
    </row>
    <row r="183" spans="1:6">
      <c r="A183" s="57" t="s">
        <v>165</v>
      </c>
      <c r="B183" s="59">
        <v>800000</v>
      </c>
      <c r="C183" s="59">
        <v>0</v>
      </c>
      <c r="D183" s="59">
        <v>20000</v>
      </c>
      <c r="E183" s="59">
        <v>14000</v>
      </c>
      <c r="F183" s="59">
        <v>766000</v>
      </c>
    </row>
    <row r="184" spans="1:6">
      <c r="A184" s="57" t="s">
        <v>74</v>
      </c>
      <c r="B184" s="59">
        <v>200000</v>
      </c>
      <c r="C184" s="59">
        <v>90000</v>
      </c>
      <c r="D184" s="59">
        <v>25000</v>
      </c>
      <c r="E184" s="59">
        <v>20000</v>
      </c>
      <c r="F184" s="59">
        <v>65000</v>
      </c>
    </row>
    <row r="185" spans="1:6">
      <c r="A185" s="57" t="s">
        <v>75</v>
      </c>
      <c r="B185" s="59">
        <v>100000</v>
      </c>
      <c r="C185" s="59">
        <v>65000</v>
      </c>
      <c r="D185" s="59">
        <v>12000</v>
      </c>
      <c r="E185" s="59">
        <v>15000</v>
      </c>
      <c r="F185" s="59">
        <v>8000</v>
      </c>
    </row>
    <row r="186" spans="1:6">
      <c r="A186" s="57" t="s">
        <v>76</v>
      </c>
      <c r="B186" s="59">
        <v>50000</v>
      </c>
      <c r="C186" s="59">
        <v>27500.000000000004</v>
      </c>
      <c r="D186" s="59">
        <v>5000</v>
      </c>
      <c r="E186" s="59">
        <v>6000</v>
      </c>
      <c r="F186" s="59">
        <v>11499.999999999996</v>
      </c>
    </row>
    <row r="187" spans="1:6">
      <c r="A187" s="57"/>
      <c r="B187" s="60"/>
      <c r="C187" s="60"/>
      <c r="D187" s="60"/>
      <c r="E187" s="60"/>
      <c r="F187" s="60"/>
    </row>
    <row r="188" spans="1:6" ht="16.149999999999999" thickBot="1">
      <c r="A188" s="53" t="s">
        <v>166</v>
      </c>
      <c r="B188" s="61">
        <v>1150000</v>
      </c>
      <c r="C188" s="61">
        <v>182500</v>
      </c>
      <c r="D188" s="61">
        <v>62000</v>
      </c>
      <c r="E188" s="61">
        <v>55000</v>
      </c>
      <c r="F188" s="61">
        <v>850500</v>
      </c>
    </row>
    <row r="189" spans="1:6">
      <c r="A189" s="42"/>
      <c r="B189" s="62"/>
      <c r="C189" s="42"/>
      <c r="D189" s="62"/>
      <c r="E189" s="42"/>
      <c r="F189" s="63"/>
    </row>
    <row r="190" spans="1:6">
      <c r="A190" s="42" t="s">
        <v>78</v>
      </c>
      <c r="B190" s="62"/>
      <c r="C190" s="42"/>
      <c r="D190" s="62"/>
      <c r="E190" s="42"/>
      <c r="F190" s="63"/>
    </row>
    <row r="191" spans="1:6">
      <c r="A191" s="42" t="s">
        <v>79</v>
      </c>
      <c r="B191" s="62"/>
      <c r="C191" s="42"/>
      <c r="D191" s="64">
        <v>30000</v>
      </c>
      <c r="E191" s="47">
        <v>6000</v>
      </c>
      <c r="F191" s="65">
        <v>36000</v>
      </c>
    </row>
    <row r="192" spans="1:6">
      <c r="A192" s="42" t="s">
        <v>80</v>
      </c>
      <c r="B192" s="62"/>
      <c r="C192" s="42"/>
      <c r="D192" s="64">
        <v>24000</v>
      </c>
      <c r="E192" s="47">
        <v>2500</v>
      </c>
      <c r="F192" s="65">
        <v>26500</v>
      </c>
    </row>
    <row r="193" spans="1:6">
      <c r="A193" s="42" t="s">
        <v>81</v>
      </c>
      <c r="B193" s="62"/>
      <c r="C193" s="42"/>
      <c r="D193" s="64">
        <v>12000</v>
      </c>
      <c r="E193" s="47">
        <v>2600</v>
      </c>
      <c r="F193" s="65">
        <v>14600</v>
      </c>
    </row>
    <row r="194" spans="1:6">
      <c r="A194" s="42" t="s">
        <v>82</v>
      </c>
      <c r="B194" s="62"/>
      <c r="C194" s="42"/>
      <c r="D194" s="64"/>
      <c r="E194" s="47">
        <v>3900</v>
      </c>
      <c r="F194" s="65">
        <v>3900</v>
      </c>
    </row>
    <row r="195" spans="1:6">
      <c r="A195" s="42" t="s">
        <v>83</v>
      </c>
      <c r="B195" s="62"/>
      <c r="C195" s="42"/>
      <c r="D195" s="64"/>
      <c r="E195" s="47"/>
      <c r="F195" s="65">
        <v>81000</v>
      </c>
    </row>
    <row r="196" spans="1:6" ht="14.65" thickBot="1">
      <c r="A196" s="66"/>
      <c r="B196" s="67"/>
      <c r="C196" s="66"/>
      <c r="D196" s="67"/>
      <c r="E196" s="66"/>
      <c r="F196" s="68"/>
    </row>
    <row r="197" spans="1:6">
      <c r="A197" s="42"/>
      <c r="B197" s="62"/>
      <c r="C197" s="62"/>
      <c r="D197" s="62"/>
      <c r="E197" s="62"/>
      <c r="F197" s="63"/>
    </row>
    <row r="198" spans="1:6">
      <c r="A198" s="42" t="s">
        <v>85</v>
      </c>
      <c r="B198" s="62"/>
      <c r="C198" s="62"/>
      <c r="D198" s="62"/>
      <c r="E198" s="62"/>
      <c r="F198" s="63"/>
    </row>
    <row r="199" spans="1:6">
      <c r="A199" s="42" t="s">
        <v>86</v>
      </c>
      <c r="B199" s="62"/>
      <c r="C199" s="62"/>
      <c r="D199" s="62"/>
      <c r="E199" s="62"/>
      <c r="F199" s="47">
        <v>50000</v>
      </c>
    </row>
    <row r="200" spans="1:6">
      <c r="A200" s="42" t="s">
        <v>87</v>
      </c>
      <c r="B200" s="62"/>
      <c r="C200" s="62"/>
      <c r="D200" s="62"/>
      <c r="E200" s="62"/>
      <c r="F200" s="47">
        <v>50000</v>
      </c>
    </row>
    <row r="201" spans="1:6">
      <c r="A201" s="42" t="s">
        <v>88</v>
      </c>
      <c r="B201" s="62"/>
      <c r="C201" s="62"/>
      <c r="D201" s="62"/>
      <c r="E201" s="62"/>
      <c r="F201" s="47">
        <v>450000</v>
      </c>
    </row>
    <row r="202" spans="1:6">
      <c r="A202" s="42" t="s">
        <v>62</v>
      </c>
      <c r="B202" s="62"/>
      <c r="C202" s="62"/>
      <c r="D202" s="62"/>
      <c r="E202" s="62"/>
      <c r="F202" s="47">
        <v>200000</v>
      </c>
    </row>
    <row r="203" spans="1:6">
      <c r="A203" s="42" t="s">
        <v>167</v>
      </c>
      <c r="B203" s="62"/>
      <c r="C203" s="62"/>
      <c r="D203" s="62"/>
      <c r="E203" s="62"/>
      <c r="F203" s="47">
        <v>75000</v>
      </c>
    </row>
    <row r="204" spans="1:6">
      <c r="A204" s="42"/>
      <c r="B204" s="62"/>
      <c r="C204" s="62"/>
      <c r="D204" s="62"/>
      <c r="E204" s="62"/>
      <c r="F204" s="42"/>
    </row>
    <row r="205" spans="1:6" ht="14.65" thickBot="1">
      <c r="A205" s="66" t="s">
        <v>89</v>
      </c>
      <c r="B205" s="67"/>
      <c r="C205" s="67"/>
      <c r="D205" s="67"/>
      <c r="E205" s="67"/>
      <c r="F205" s="69">
        <v>94500</v>
      </c>
    </row>
    <row r="206" spans="1:6">
      <c r="A206" s="42" t="s">
        <v>90</v>
      </c>
      <c r="B206" s="62"/>
      <c r="C206" s="62"/>
      <c r="D206" s="62"/>
      <c r="E206" s="62"/>
      <c r="F206" s="47">
        <v>10000</v>
      </c>
    </row>
    <row r="207" spans="1:6">
      <c r="A207" s="60" t="s">
        <v>65</v>
      </c>
      <c r="B207" s="70"/>
      <c r="C207" s="70"/>
      <c r="D207" s="70"/>
      <c r="E207" s="70"/>
      <c r="F207" s="71">
        <v>84500</v>
      </c>
    </row>
    <row r="208" spans="1:6">
      <c r="A208" s="42" t="s">
        <v>91</v>
      </c>
      <c r="B208" s="62"/>
      <c r="C208" s="62"/>
      <c r="D208" s="62"/>
      <c r="E208" s="62"/>
      <c r="F208" s="47">
        <v>16900</v>
      </c>
    </row>
    <row r="209" spans="1:12" ht="16.149999999999999" thickBot="1">
      <c r="A209" s="53" t="s">
        <v>92</v>
      </c>
      <c r="B209" s="72"/>
      <c r="C209" s="72"/>
      <c r="D209" s="72"/>
      <c r="E209" s="72"/>
      <c r="F209" s="73">
        <v>67600</v>
      </c>
    </row>
    <row r="210" spans="1:12" ht="14.65" customHeight="1">
      <c r="A210" s="162"/>
    </row>
    <row r="211" spans="1:12" ht="15.75" customHeight="1">
      <c r="A211" s="1057" t="s">
        <v>859</v>
      </c>
      <c r="B211" s="1058"/>
      <c r="C211" s="1058"/>
      <c r="D211" s="1058"/>
      <c r="E211" s="1058"/>
      <c r="F211" s="1058"/>
      <c r="G211" s="1058"/>
      <c r="H211" s="1058"/>
      <c r="I211" s="1058"/>
      <c r="J211" s="1058"/>
      <c r="K211" s="1058"/>
      <c r="L211" s="1058"/>
    </row>
    <row r="212" spans="1:12">
      <c r="A212" s="1059"/>
      <c r="B212" s="1059"/>
      <c r="C212" s="1059"/>
      <c r="D212" s="1059"/>
      <c r="E212" s="1059"/>
      <c r="F212" s="1059"/>
      <c r="G212" s="1059"/>
      <c r="H212" s="1059"/>
      <c r="I212" s="1059"/>
      <c r="J212" s="1059"/>
      <c r="K212" s="1059"/>
      <c r="L212" s="1059"/>
    </row>
    <row r="213" spans="1:12">
      <c r="A213" s="1059"/>
      <c r="B213" s="1059"/>
      <c r="C213" s="1059"/>
      <c r="D213" s="1059"/>
      <c r="E213" s="1059"/>
      <c r="F213" s="1059"/>
      <c r="G213" s="1059"/>
      <c r="H213" s="1059"/>
      <c r="I213" s="1059"/>
      <c r="J213" s="1059"/>
      <c r="K213" s="1059"/>
      <c r="L213" s="1059"/>
    </row>
    <row r="214" spans="1:12">
      <c r="A214" s="1059"/>
      <c r="B214" s="1059"/>
      <c r="C214" s="1059"/>
      <c r="D214" s="1059"/>
      <c r="E214" s="1059"/>
      <c r="F214" s="1059"/>
      <c r="G214" s="1059"/>
      <c r="H214" s="1059"/>
      <c r="I214" s="1059"/>
      <c r="J214" s="1059"/>
      <c r="K214" s="1059"/>
      <c r="L214" s="1059"/>
    </row>
    <row r="215" spans="1:12">
      <c r="A215" s="1059"/>
      <c r="B215" s="1059"/>
      <c r="C215" s="1059"/>
      <c r="D215" s="1059"/>
      <c r="E215" s="1059"/>
      <c r="F215" s="1059"/>
      <c r="G215" s="1059"/>
      <c r="H215" s="1059"/>
      <c r="I215" s="1059"/>
      <c r="J215" s="1059"/>
      <c r="K215" s="1059"/>
      <c r="L215" s="1059"/>
    </row>
    <row r="216" spans="1:12">
      <c r="A216" s="1059"/>
      <c r="B216" s="1059"/>
      <c r="C216" s="1059"/>
      <c r="D216" s="1059"/>
      <c r="E216" s="1059"/>
      <c r="F216" s="1059"/>
      <c r="G216" s="1059"/>
      <c r="H216" s="1059"/>
      <c r="I216" s="1059"/>
      <c r="J216" s="1059"/>
      <c r="K216" s="1059"/>
      <c r="L216" s="1059"/>
    </row>
    <row r="217" spans="1:12">
      <c r="A217" s="1059"/>
      <c r="B217" s="1059"/>
      <c r="C217" s="1059"/>
      <c r="D217" s="1059"/>
      <c r="E217" s="1059"/>
      <c r="F217" s="1059"/>
      <c r="G217" s="1059"/>
      <c r="H217" s="1059"/>
      <c r="I217" s="1059"/>
      <c r="J217" s="1059"/>
      <c r="K217" s="1059"/>
      <c r="L217" s="1059"/>
    </row>
    <row r="218" spans="1:12" ht="14.65" customHeight="1">
      <c r="A218" s="162"/>
    </row>
    <row r="219" spans="1:12" s="163" customFormat="1">
      <c r="A219" s="161">
        <v>5</v>
      </c>
    </row>
    <row r="220" spans="1:12" ht="15.75">
      <c r="A220" s="91"/>
      <c r="B220" s="91"/>
      <c r="C220" s="91"/>
      <c r="D220" s="91"/>
      <c r="E220" s="91"/>
      <c r="F220" s="92"/>
      <c r="G220" s="93">
        <v>2020</v>
      </c>
      <c r="H220" s="93">
        <v>2021</v>
      </c>
      <c r="I220" s="93"/>
      <c r="J220" s="93">
        <v>2020</v>
      </c>
      <c r="K220" s="93">
        <v>2021</v>
      </c>
      <c r="L220" s="91"/>
    </row>
    <row r="221" spans="1:12" ht="15.75">
      <c r="A221" s="77" t="s">
        <v>0</v>
      </c>
      <c r="B221" s="77"/>
      <c r="C221" s="77"/>
      <c r="D221" s="77"/>
      <c r="E221" s="10"/>
      <c r="F221" s="77" t="s">
        <v>1</v>
      </c>
      <c r="G221" s="9"/>
      <c r="H221" s="9"/>
      <c r="I221" s="94" t="s">
        <v>2</v>
      </c>
      <c r="J221" s="9"/>
      <c r="K221" s="9"/>
      <c r="L221" s="10"/>
    </row>
    <row r="222" spans="1:12" ht="15.75">
      <c r="A222" s="9"/>
      <c r="B222" s="95" t="s">
        <v>3</v>
      </c>
      <c r="C222" s="95" t="s">
        <v>4</v>
      </c>
      <c r="D222" s="95" t="s">
        <v>5</v>
      </c>
      <c r="E222" s="10"/>
      <c r="F222" s="9" t="s">
        <v>6</v>
      </c>
      <c r="G222" s="9"/>
      <c r="H222" s="96"/>
      <c r="I222" s="96"/>
      <c r="J222" s="96"/>
      <c r="K222" s="96"/>
      <c r="L222" s="97"/>
    </row>
    <row r="223" spans="1:12" ht="15.75">
      <c r="A223" s="98" t="s">
        <v>7</v>
      </c>
      <c r="B223" s="96">
        <f>B226*0.3</f>
        <v>8530964.4000000004</v>
      </c>
      <c r="C223" s="96">
        <f>C226*0.3</f>
        <v>4473186.5999999996</v>
      </c>
      <c r="D223" s="96">
        <f>B223-C223</f>
        <v>4057777.8000000007</v>
      </c>
      <c r="E223" s="10"/>
      <c r="F223" s="9" t="s">
        <v>8</v>
      </c>
      <c r="G223" s="99">
        <v>4770618</v>
      </c>
      <c r="H223" s="96">
        <v>3743092</v>
      </c>
      <c r="I223" s="96" t="s">
        <v>9</v>
      </c>
      <c r="J223" s="96">
        <v>885654</v>
      </c>
      <c r="K223" s="96">
        <v>877832</v>
      </c>
      <c r="L223" s="774"/>
    </row>
    <row r="224" spans="1:12" ht="15.75">
      <c r="A224" s="98" t="s">
        <v>10</v>
      </c>
      <c r="B224" s="96">
        <f>B226*0.5</f>
        <v>14218274</v>
      </c>
      <c r="C224" s="96">
        <f>C226*0.5</f>
        <v>7455311</v>
      </c>
      <c r="D224" s="96">
        <f>B224-C224</f>
        <v>6762963</v>
      </c>
      <c r="E224" s="110">
        <f>(G224+H224)/2</f>
        <v>4449072</v>
      </c>
      <c r="F224" s="9" t="s">
        <v>11</v>
      </c>
      <c r="G224" s="99">
        <v>4470618</v>
      </c>
      <c r="H224" s="96">
        <v>4427526</v>
      </c>
      <c r="I224" s="96" t="s">
        <v>12</v>
      </c>
      <c r="J224" s="100">
        <v>623988</v>
      </c>
      <c r="K224" s="96">
        <v>646156</v>
      </c>
      <c r="L224" s="91"/>
    </row>
    <row r="225" spans="1:12" ht="15.75">
      <c r="A225" s="98" t="s">
        <v>13</v>
      </c>
      <c r="B225" s="96">
        <f>B226-B223-B224</f>
        <v>5687309.6000000015</v>
      </c>
      <c r="C225" s="96">
        <f>C226-C223-C224</f>
        <v>2982124.4000000004</v>
      </c>
      <c r="D225" s="96">
        <f>B225-C225</f>
        <v>2705185.2000000011</v>
      </c>
      <c r="E225" s="110"/>
      <c r="F225" s="9" t="s">
        <v>14</v>
      </c>
      <c r="G225" s="99">
        <v>118585</v>
      </c>
      <c r="H225" s="96">
        <v>91059</v>
      </c>
      <c r="I225" s="96" t="s">
        <v>15</v>
      </c>
      <c r="J225" s="100">
        <v>992684</v>
      </c>
      <c r="K225" s="96">
        <v>946528</v>
      </c>
      <c r="L225" s="91"/>
    </row>
    <row r="226" spans="1:12" ht="15.75">
      <c r="A226" s="9"/>
      <c r="B226" s="101">
        <v>28436548</v>
      </c>
      <c r="C226" s="101">
        <v>14910622</v>
      </c>
      <c r="D226" s="101">
        <f>B226-C226</f>
        <v>13525926</v>
      </c>
      <c r="E226" s="110">
        <f t="shared" ref="E226" si="1">(G226+H226)/2</f>
        <v>3276976.5</v>
      </c>
      <c r="F226" s="9" t="s">
        <v>16</v>
      </c>
      <c r="G226" s="99">
        <v>3272506</v>
      </c>
      <c r="H226" s="96">
        <v>3281447</v>
      </c>
      <c r="I226" s="96" t="s">
        <v>17</v>
      </c>
      <c r="J226" s="100">
        <v>649222</v>
      </c>
      <c r="K226" s="96">
        <v>602694</v>
      </c>
      <c r="L226" s="91"/>
    </row>
    <row r="227" spans="1:12" ht="15.75">
      <c r="A227" s="9"/>
      <c r="B227" s="9"/>
      <c r="C227" s="9"/>
      <c r="D227" s="9"/>
      <c r="E227" s="10"/>
      <c r="F227" s="9" t="s">
        <v>18</v>
      </c>
      <c r="G227" s="99">
        <v>442696</v>
      </c>
      <c r="H227" s="96">
        <v>461249</v>
      </c>
      <c r="I227" s="96" t="s">
        <v>19</v>
      </c>
      <c r="J227" s="100">
        <v>223632</v>
      </c>
      <c r="K227" s="96">
        <v>220938</v>
      </c>
      <c r="L227" s="91"/>
    </row>
    <row r="228" spans="1:12" ht="15.75">
      <c r="A228" s="9"/>
      <c r="B228" s="9"/>
      <c r="C228" s="9"/>
      <c r="D228" s="9"/>
      <c r="E228" s="10"/>
      <c r="F228" s="9" t="s">
        <v>20</v>
      </c>
      <c r="G228" s="99">
        <v>181412</v>
      </c>
      <c r="H228" s="96">
        <v>220163</v>
      </c>
      <c r="I228" s="96" t="s">
        <v>21</v>
      </c>
      <c r="J228" s="96">
        <f>SUM(J223:J227)</f>
        <v>3375180</v>
      </c>
      <c r="K228" s="1260">
        <f>SUM(K223:K227)</f>
        <v>3294148</v>
      </c>
      <c r="L228" s="91"/>
    </row>
    <row r="229" spans="1:12" ht="15.75">
      <c r="A229" s="9"/>
      <c r="B229" s="9" t="s">
        <v>22</v>
      </c>
      <c r="C229" s="9"/>
      <c r="D229" s="102">
        <v>1499477</v>
      </c>
      <c r="E229" s="10"/>
      <c r="F229" s="9" t="s">
        <v>23</v>
      </c>
      <c r="G229" s="99">
        <f>SUM(G223:G228)</f>
        <v>13256435</v>
      </c>
      <c r="H229" s="100">
        <f>SUM(H223:H228)</f>
        <v>12224536</v>
      </c>
      <c r="I229" s="96"/>
      <c r="J229" s="96"/>
      <c r="K229" s="96"/>
      <c r="L229" s="103"/>
    </row>
    <row r="230" spans="1:12" ht="15.75">
      <c r="A230" s="9"/>
      <c r="B230" s="9" t="s">
        <v>24</v>
      </c>
      <c r="C230" s="9"/>
      <c r="D230" s="102">
        <v>1505431</v>
      </c>
      <c r="E230" s="10"/>
      <c r="F230" s="9"/>
      <c r="G230" s="99"/>
      <c r="H230" s="99"/>
      <c r="I230" s="9"/>
      <c r="J230" s="9"/>
      <c r="K230" s="9"/>
      <c r="L230" s="103"/>
    </row>
    <row r="231" spans="1:12" ht="15.75">
      <c r="A231" s="9"/>
      <c r="B231" s="9" t="s">
        <v>25</v>
      </c>
      <c r="C231" s="9"/>
      <c r="D231" s="102">
        <v>2422147</v>
      </c>
      <c r="E231" s="10"/>
      <c r="F231" s="9"/>
      <c r="G231" s="99"/>
      <c r="H231" s="99"/>
      <c r="I231" s="96" t="s">
        <v>26</v>
      </c>
      <c r="J231" s="100">
        <f>K231+K229-(ROUND(K229,-5))</f>
        <v>894429</v>
      </c>
      <c r="K231" s="96">
        <v>894429</v>
      </c>
      <c r="L231" s="103"/>
    </row>
    <row r="232" spans="1:12" ht="15.75">
      <c r="A232" s="9"/>
      <c r="B232" s="9" t="s">
        <v>27</v>
      </c>
      <c r="C232" s="9"/>
      <c r="D232" s="102">
        <v>1150851</v>
      </c>
      <c r="E232" s="10"/>
      <c r="F232" s="9" t="s">
        <v>28</v>
      </c>
      <c r="G232" s="99">
        <v>2000000</v>
      </c>
      <c r="H232" s="99">
        <v>2000000</v>
      </c>
      <c r="I232" s="99"/>
      <c r="J232" s="99"/>
      <c r="K232" s="99"/>
      <c r="L232" s="103"/>
    </row>
    <row r="233" spans="1:12" ht="15.75">
      <c r="A233" s="9"/>
      <c r="B233" s="9" t="s">
        <v>29</v>
      </c>
      <c r="C233" s="9"/>
      <c r="D233" s="102">
        <v>698580</v>
      </c>
      <c r="E233" s="10"/>
      <c r="F233" s="9" t="s">
        <v>30</v>
      </c>
      <c r="G233" s="99">
        <v>5186709</v>
      </c>
      <c r="H233" s="96">
        <v>5186709</v>
      </c>
      <c r="I233" s="99"/>
      <c r="J233" s="99"/>
      <c r="K233" s="99"/>
      <c r="L233" s="103"/>
    </row>
    <row r="234" spans="1:12" ht="15.75">
      <c r="A234" s="9"/>
      <c r="B234" s="9"/>
      <c r="C234" s="9"/>
      <c r="D234" s="9"/>
      <c r="E234" s="10"/>
      <c r="F234" s="9" t="s">
        <v>31</v>
      </c>
      <c r="G234" s="104">
        <v>-1574982</v>
      </c>
      <c r="H234" s="104">
        <v>-2645833</v>
      </c>
      <c r="I234" s="99"/>
      <c r="J234" s="99"/>
      <c r="K234" s="99"/>
      <c r="L234" s="103"/>
    </row>
    <row r="235" spans="1:12" ht="15.75">
      <c r="A235" s="9"/>
      <c r="B235" s="9" t="s">
        <v>32</v>
      </c>
      <c r="C235" s="9"/>
      <c r="D235" s="102">
        <f>SUM(D229:D233)</f>
        <v>7276486</v>
      </c>
      <c r="E235" s="10"/>
      <c r="F235" s="9" t="s">
        <v>33</v>
      </c>
      <c r="G235" s="99">
        <v>1046944</v>
      </c>
      <c r="H235" s="96">
        <v>1052944</v>
      </c>
      <c r="I235" s="96" t="s">
        <v>34</v>
      </c>
      <c r="J235" s="100">
        <f>K235-50000</f>
        <v>130808</v>
      </c>
      <c r="K235" s="96">
        <v>180808</v>
      </c>
      <c r="L235" s="103"/>
    </row>
    <row r="236" spans="1:12" ht="15.75">
      <c r="A236" s="9"/>
      <c r="B236" s="9" t="s">
        <v>35</v>
      </c>
      <c r="C236" s="9"/>
      <c r="D236" s="102">
        <f>D226-D235</f>
        <v>6249440</v>
      </c>
      <c r="E236" s="10"/>
      <c r="F236" s="105" t="s">
        <v>36</v>
      </c>
      <c r="G236" s="104">
        <v>-110025</v>
      </c>
      <c r="H236" s="106">
        <v>-190025</v>
      </c>
      <c r="I236" s="96" t="s">
        <v>37</v>
      </c>
      <c r="J236" s="100">
        <f>K236-1000000</f>
        <v>6626602</v>
      </c>
      <c r="K236" s="96">
        <v>7626602</v>
      </c>
      <c r="L236" s="103"/>
    </row>
    <row r="237" spans="1:12" ht="15.75">
      <c r="A237" s="9"/>
      <c r="B237" s="9"/>
      <c r="C237" s="9"/>
      <c r="D237" s="9"/>
      <c r="E237" s="10"/>
      <c r="F237" s="9" t="s">
        <v>38</v>
      </c>
      <c r="G237" s="99">
        <v>603400</v>
      </c>
      <c r="H237" s="96">
        <v>751700</v>
      </c>
      <c r="I237" s="96" t="s">
        <v>39</v>
      </c>
      <c r="J237" s="100">
        <f>G240-11027019</f>
        <v>9381462</v>
      </c>
      <c r="K237" s="96">
        <v>6384044</v>
      </c>
      <c r="L237" s="103"/>
    </row>
    <row r="238" spans="1:12">
      <c r="A238" s="9"/>
      <c r="B238" s="9" t="s">
        <v>40</v>
      </c>
      <c r="C238" s="9"/>
      <c r="D238" s="102">
        <f>2090468-27210</f>
        <v>2063258</v>
      </c>
      <c r="E238" s="10"/>
      <c r="F238" s="9" t="s">
        <v>41</v>
      </c>
      <c r="G238" s="100">
        <f>SUM(G232:G237)</f>
        <v>7152046</v>
      </c>
      <c r="H238" s="100">
        <f>SUM(H232:H237)</f>
        <v>6155495</v>
      </c>
      <c r="I238" s="96" t="s">
        <v>42</v>
      </c>
      <c r="J238" s="107">
        <f>SUM(J235:J237)</f>
        <v>16138872</v>
      </c>
      <c r="K238" s="96">
        <f>SUM(K235:K237)</f>
        <v>14191454</v>
      </c>
      <c r="L238" s="103"/>
    </row>
    <row r="239" spans="1:12">
      <c r="A239" s="9"/>
      <c r="B239" s="9"/>
      <c r="C239" s="9"/>
      <c r="D239" s="9"/>
      <c r="E239" s="10"/>
      <c r="F239" s="9"/>
      <c r="G239" s="9"/>
      <c r="H239" s="96"/>
      <c r="I239" s="96"/>
      <c r="J239" s="96"/>
      <c r="K239" s="96"/>
      <c r="L239" s="103"/>
    </row>
    <row r="240" spans="1:12" ht="15.75">
      <c r="A240" s="9"/>
      <c r="B240" s="77" t="s">
        <v>43</v>
      </c>
      <c r="C240" s="77"/>
      <c r="D240" s="108">
        <f>D236-D238</f>
        <v>4186182</v>
      </c>
      <c r="E240" s="10"/>
      <c r="F240" s="77" t="s">
        <v>1</v>
      </c>
      <c r="G240" s="109">
        <f>G229+G238</f>
        <v>20408481</v>
      </c>
      <c r="H240" s="109">
        <f>H229+H238</f>
        <v>18380031</v>
      </c>
      <c r="I240" s="109" t="s">
        <v>44</v>
      </c>
      <c r="J240" s="109">
        <f>J228+J231+J238</f>
        <v>20408481</v>
      </c>
      <c r="K240" s="109">
        <f>K228+K231+K238</f>
        <v>18380031</v>
      </c>
      <c r="L240" s="103"/>
    </row>
    <row r="241" spans="1:12">
      <c r="A241" s="10"/>
      <c r="B241" s="10"/>
      <c r="C241" s="10"/>
      <c r="D241" s="10"/>
      <c r="E241" s="10"/>
      <c r="F241" s="10"/>
      <c r="G241" s="10"/>
      <c r="H241" s="10"/>
      <c r="I241" s="10"/>
      <c r="J241" s="10"/>
      <c r="K241" s="10"/>
      <c r="L241" s="10"/>
    </row>
    <row r="242" spans="1:12">
      <c r="A242" s="10"/>
      <c r="B242" s="10"/>
      <c r="C242" s="10"/>
      <c r="D242" s="110"/>
      <c r="E242" s="10"/>
      <c r="F242" s="10"/>
      <c r="G242" s="10"/>
      <c r="H242" s="10"/>
      <c r="I242" s="10"/>
      <c r="J242" s="10"/>
      <c r="K242" s="10"/>
      <c r="L242" s="10"/>
    </row>
    <row r="243" spans="1:12">
      <c r="A243" s="10"/>
      <c r="B243" s="10"/>
      <c r="C243" s="10"/>
      <c r="D243" s="10"/>
      <c r="E243" s="10"/>
      <c r="F243" s="10"/>
      <c r="G243" s="10"/>
      <c r="H243" s="10"/>
      <c r="I243" s="10"/>
      <c r="J243" s="10"/>
      <c r="K243" s="10"/>
      <c r="L243" s="10"/>
    </row>
    <row r="244" spans="1:12" ht="14.65" thickBot="1"/>
    <row r="245" spans="1:12" ht="15.75">
      <c r="A245" s="210" t="s">
        <v>861</v>
      </c>
      <c r="B245" s="75"/>
      <c r="C245" s="75"/>
      <c r="D245" s="75"/>
      <c r="E245" s="75"/>
      <c r="F245" s="75"/>
      <c r="G245" s="75"/>
      <c r="H245" s="75"/>
      <c r="I245" s="75"/>
      <c r="J245" s="75"/>
      <c r="K245" s="75"/>
      <c r="L245" s="76"/>
    </row>
    <row r="246" spans="1:12" ht="15.75">
      <c r="A246" s="1060" t="s">
        <v>169</v>
      </c>
      <c r="B246" s="1061"/>
      <c r="C246" s="1061"/>
      <c r="D246" s="1061"/>
      <c r="E246" s="1061"/>
      <c r="F246" s="1061"/>
      <c r="G246" s="1061"/>
      <c r="H246" s="1061"/>
      <c r="I246" s="1061"/>
      <c r="J246" s="1061"/>
      <c r="K246" s="1061"/>
      <c r="L246" s="1062"/>
    </row>
    <row r="247" spans="1:12" ht="15.75">
      <c r="A247" s="1060" t="s">
        <v>170</v>
      </c>
      <c r="B247" s="1061"/>
      <c r="C247" s="1061"/>
      <c r="D247" s="1061"/>
      <c r="E247" s="1061"/>
      <c r="F247" s="1061"/>
      <c r="G247" s="1061"/>
      <c r="H247" s="1061"/>
      <c r="I247" s="1061"/>
      <c r="J247" s="1061"/>
      <c r="K247" s="1061"/>
      <c r="L247" s="1062"/>
    </row>
    <row r="248" spans="1:12" ht="15.75">
      <c r="A248" s="1060" t="s">
        <v>171</v>
      </c>
      <c r="B248" s="1061"/>
      <c r="C248" s="1061"/>
      <c r="D248" s="1061"/>
      <c r="E248" s="1061"/>
      <c r="F248" s="1061"/>
      <c r="G248" s="1061"/>
      <c r="H248" s="1061"/>
      <c r="I248" s="1061"/>
      <c r="J248" s="1061"/>
      <c r="K248" s="1061"/>
      <c r="L248" s="1062"/>
    </row>
    <row r="249" spans="1:12">
      <c r="A249" s="1063" t="s">
        <v>172</v>
      </c>
      <c r="B249" s="981"/>
      <c r="C249" s="981"/>
      <c r="D249" s="981"/>
      <c r="E249" s="981"/>
      <c r="F249" s="981"/>
      <c r="G249" s="981"/>
      <c r="H249" s="981"/>
      <c r="I249" s="981"/>
      <c r="J249" s="981"/>
      <c r="K249" s="981"/>
      <c r="L249" s="1064"/>
    </row>
    <row r="250" spans="1:12" ht="14.65" thickBot="1">
      <c r="A250" s="1065"/>
      <c r="B250" s="1066"/>
      <c r="C250" s="1066"/>
      <c r="D250" s="1066"/>
      <c r="E250" s="1066"/>
      <c r="F250" s="1066"/>
      <c r="G250" s="1066"/>
      <c r="H250" s="1066"/>
      <c r="I250" s="1066"/>
      <c r="J250" s="1066"/>
      <c r="K250" s="1066"/>
      <c r="L250" s="1067"/>
    </row>
    <row r="252" spans="1:12">
      <c r="A252" s="783"/>
    </row>
    <row r="256" spans="1:12">
      <c r="A256" s="74"/>
    </row>
    <row r="257" spans="1:12" s="2" customFormat="1">
      <c r="A257" s="161">
        <v>6</v>
      </c>
    </row>
    <row r="259" spans="1:12" ht="15.75">
      <c r="A259" s="117" t="s">
        <v>145</v>
      </c>
      <c r="B259" s="118"/>
      <c r="C259" s="118"/>
      <c r="D259" s="5"/>
      <c r="E259" s="117" t="s">
        <v>173</v>
      </c>
      <c r="F259" s="118"/>
      <c r="G259" s="118"/>
      <c r="H259" s="118"/>
      <c r="I259" s="118"/>
      <c r="J259" s="118"/>
      <c r="K259" s="5"/>
      <c r="L259" s="5"/>
    </row>
    <row r="260" spans="1:12" ht="15.75">
      <c r="A260" s="117"/>
      <c r="B260" s="119">
        <v>2020</v>
      </c>
      <c r="C260" s="117">
        <v>2021</v>
      </c>
      <c r="D260" s="5"/>
      <c r="E260" s="127">
        <v>2021</v>
      </c>
      <c r="F260" s="118"/>
      <c r="G260" s="118"/>
      <c r="H260" s="118"/>
      <c r="I260" s="118"/>
      <c r="J260" s="118"/>
      <c r="K260" s="5"/>
      <c r="L260" s="5"/>
    </row>
    <row r="261" spans="1:12" ht="15.75">
      <c r="A261" s="120"/>
      <c r="B261" s="121"/>
      <c r="C261" s="121"/>
      <c r="D261" s="5"/>
      <c r="E261" s="118"/>
      <c r="F261" s="118"/>
      <c r="G261" s="118"/>
      <c r="H261" s="118"/>
      <c r="I261" s="118"/>
      <c r="J261" s="118"/>
      <c r="K261" s="5"/>
      <c r="L261" s="5"/>
    </row>
    <row r="262" spans="1:12" ht="15.75">
      <c r="A262" s="120" t="s">
        <v>8</v>
      </c>
      <c r="B262" s="122">
        <v>25000</v>
      </c>
      <c r="C262" s="122">
        <v>884500</v>
      </c>
      <c r="D262" s="5"/>
      <c r="E262" s="117"/>
      <c r="F262" s="117" t="s">
        <v>3</v>
      </c>
      <c r="G262" s="117" t="s">
        <v>70</v>
      </c>
      <c r="H262" s="117" t="s">
        <v>174</v>
      </c>
      <c r="I262" s="117" t="s">
        <v>20</v>
      </c>
      <c r="J262" s="117" t="s">
        <v>164</v>
      </c>
      <c r="K262" s="5"/>
      <c r="L262" s="5"/>
    </row>
    <row r="263" spans="1:12" ht="15.75">
      <c r="A263" s="120" t="s">
        <v>146</v>
      </c>
      <c r="B263" s="122">
        <v>2000</v>
      </c>
      <c r="C263" s="122">
        <v>35000</v>
      </c>
      <c r="D263" s="5"/>
      <c r="E263" s="121" t="s">
        <v>55</v>
      </c>
      <c r="F263" s="128">
        <v>1500000</v>
      </c>
      <c r="G263" s="129">
        <v>0</v>
      </c>
      <c r="H263" s="129">
        <v>80000</v>
      </c>
      <c r="I263" s="129">
        <v>145000</v>
      </c>
      <c r="J263" s="128">
        <v>1275000</v>
      </c>
    </row>
    <row r="264" spans="1:12" ht="15.75">
      <c r="A264" s="120" t="s">
        <v>147</v>
      </c>
      <c r="B264" s="122">
        <v>65000</v>
      </c>
      <c r="C264" s="122">
        <v>30000</v>
      </c>
      <c r="D264" s="136"/>
      <c r="E264" s="120" t="s">
        <v>74</v>
      </c>
      <c r="F264" s="122">
        <v>800000</v>
      </c>
      <c r="G264" s="130">
        <v>520000</v>
      </c>
      <c r="H264" s="130">
        <v>100000</v>
      </c>
      <c r="I264" s="130">
        <v>125000</v>
      </c>
      <c r="J264" s="122">
        <v>55000</v>
      </c>
    </row>
    <row r="265" spans="1:12" ht="15.75">
      <c r="A265" s="120" t="s">
        <v>148</v>
      </c>
      <c r="B265" s="122">
        <v>15000</v>
      </c>
      <c r="C265" s="122">
        <v>20000</v>
      </c>
      <c r="D265" s="136"/>
      <c r="E265" s="120" t="s">
        <v>75</v>
      </c>
      <c r="F265" s="122">
        <v>400000</v>
      </c>
      <c r="G265" s="130">
        <v>160000</v>
      </c>
      <c r="H265" s="130">
        <v>85000</v>
      </c>
      <c r="I265" s="130">
        <v>30000</v>
      </c>
      <c r="J265" s="122">
        <v>125000</v>
      </c>
    </row>
    <row r="266" spans="1:12" ht="15.75">
      <c r="A266" s="120" t="s">
        <v>18</v>
      </c>
      <c r="B266" s="122">
        <v>1000</v>
      </c>
      <c r="C266" s="122">
        <v>1000</v>
      </c>
      <c r="D266" s="5"/>
      <c r="E266" s="120"/>
      <c r="F266" s="122"/>
      <c r="G266" s="130"/>
      <c r="H266" s="130"/>
      <c r="I266" s="130"/>
      <c r="J266" s="122"/>
    </row>
    <row r="267" spans="1:12" ht="15.75">
      <c r="A267" s="120"/>
      <c r="B267" s="122"/>
      <c r="C267" s="122"/>
      <c r="D267" s="5"/>
      <c r="E267" s="120" t="s">
        <v>175</v>
      </c>
      <c r="F267" s="122">
        <v>2700000</v>
      </c>
      <c r="G267" s="130">
        <v>680000</v>
      </c>
      <c r="H267" s="130">
        <v>265000</v>
      </c>
      <c r="I267" s="130">
        <v>300000</v>
      </c>
      <c r="J267" s="122">
        <v>1455000</v>
      </c>
    </row>
    <row r="268" spans="1:12" ht="15.75">
      <c r="A268" s="120"/>
      <c r="B268" s="122"/>
      <c r="C268" s="122"/>
      <c r="D268" s="5"/>
      <c r="E268" s="120"/>
      <c r="F268" s="122"/>
      <c r="G268" s="130"/>
      <c r="H268" s="130"/>
      <c r="I268" s="130"/>
      <c r="J268" s="122"/>
    </row>
    <row r="269" spans="1:12" ht="15.75">
      <c r="A269" s="120" t="s">
        <v>28</v>
      </c>
      <c r="B269" s="122">
        <v>3000000</v>
      </c>
      <c r="C269" s="122">
        <v>3000000</v>
      </c>
      <c r="D269" s="5"/>
      <c r="E269" s="120" t="s">
        <v>176</v>
      </c>
      <c r="F269" s="122"/>
      <c r="G269" s="130"/>
      <c r="H269" s="130"/>
      <c r="I269" s="130"/>
      <c r="J269" s="122"/>
    </row>
    <row r="270" spans="1:12" ht="15.75">
      <c r="A270" s="120" t="s">
        <v>30</v>
      </c>
      <c r="B270" s="122">
        <v>2000000</v>
      </c>
      <c r="C270" s="122">
        <v>2000000</v>
      </c>
      <c r="D270" s="5"/>
      <c r="E270" s="120" t="s">
        <v>177</v>
      </c>
      <c r="F270" s="122"/>
      <c r="G270" s="130"/>
      <c r="H270" s="130"/>
      <c r="I270" s="130"/>
      <c r="J270" s="122">
        <v>80000</v>
      </c>
    </row>
    <row r="271" spans="1:12" ht="15.75">
      <c r="A271" s="120" t="s">
        <v>178</v>
      </c>
      <c r="B271" s="122">
        <v>200000</v>
      </c>
      <c r="C271" s="122">
        <v>300000</v>
      </c>
      <c r="D271" s="5"/>
      <c r="E271" s="120" t="s">
        <v>179</v>
      </c>
      <c r="F271" s="122"/>
      <c r="G271" s="130"/>
      <c r="H271" s="130"/>
      <c r="I271" s="130"/>
      <c r="J271" s="122">
        <v>125000</v>
      </c>
    </row>
    <row r="272" spans="1:12" ht="15.75">
      <c r="A272" s="120" t="s">
        <v>180</v>
      </c>
      <c r="B272" s="123">
        <v>200000</v>
      </c>
      <c r="C272" s="123">
        <v>100000</v>
      </c>
      <c r="D272" s="5"/>
      <c r="E272" s="120" t="s">
        <v>181</v>
      </c>
      <c r="F272" s="122"/>
      <c r="G272" s="130"/>
      <c r="H272" s="130"/>
      <c r="I272" s="130"/>
      <c r="J272" s="122">
        <v>150000</v>
      </c>
    </row>
    <row r="273" spans="1:12" ht="15.75">
      <c r="A273" s="120" t="s">
        <v>182</v>
      </c>
      <c r="B273" s="122">
        <v>80000</v>
      </c>
      <c r="C273" s="122">
        <v>70000</v>
      </c>
      <c r="D273" s="5"/>
      <c r="E273" s="120" t="s">
        <v>82</v>
      </c>
      <c r="F273" s="122"/>
      <c r="G273" s="130"/>
      <c r="H273" s="130"/>
      <c r="I273" s="130"/>
      <c r="J273" s="122">
        <v>45000</v>
      </c>
    </row>
    <row r="274" spans="1:12" ht="15.75">
      <c r="A274" s="124"/>
      <c r="B274" s="125"/>
      <c r="C274" s="125"/>
      <c r="D274" s="5"/>
      <c r="E274" s="120" t="s">
        <v>183</v>
      </c>
      <c r="F274" s="122"/>
      <c r="G274" s="130"/>
      <c r="H274" s="130"/>
      <c r="I274" s="130"/>
      <c r="J274" s="122">
        <v>400000</v>
      </c>
    </row>
    <row r="275" spans="1:12" ht="15.75">
      <c r="A275" s="117" t="s">
        <v>52</v>
      </c>
      <c r="B275" s="126">
        <v>5028000</v>
      </c>
      <c r="C275" s="126">
        <v>5700500</v>
      </c>
      <c r="D275" s="5"/>
      <c r="E275" s="117" t="s">
        <v>84</v>
      </c>
      <c r="F275" s="126"/>
      <c r="G275" s="131"/>
      <c r="H275" s="131"/>
      <c r="I275" s="131"/>
      <c r="J275" s="126">
        <v>1055000</v>
      </c>
    </row>
    <row r="276" spans="1:12" ht="15.75">
      <c r="A276" s="120"/>
      <c r="B276" s="122"/>
      <c r="C276" s="122"/>
      <c r="D276" s="5"/>
      <c r="E276" s="120"/>
      <c r="F276" s="132"/>
      <c r="G276" s="132"/>
      <c r="H276" s="132"/>
      <c r="I276" s="128"/>
      <c r="J276" s="122"/>
    </row>
    <row r="277" spans="1:12" ht="15.75">
      <c r="A277" s="120"/>
      <c r="B277" s="122"/>
      <c r="C277" s="122"/>
      <c r="D277" s="5"/>
      <c r="E277" s="120"/>
      <c r="F277" s="132"/>
      <c r="G277" s="132"/>
      <c r="H277" s="132"/>
      <c r="I277" s="122"/>
      <c r="J277" s="122"/>
    </row>
    <row r="278" spans="1:12" ht="15.75">
      <c r="A278" s="120" t="s">
        <v>9</v>
      </c>
      <c r="B278" s="122">
        <v>1000</v>
      </c>
      <c r="C278" s="122">
        <v>13000</v>
      </c>
      <c r="D278" s="136"/>
      <c r="E278" s="120" t="s">
        <v>85</v>
      </c>
      <c r="F278" s="132"/>
      <c r="G278" s="132"/>
      <c r="H278" s="132"/>
      <c r="I278" s="122"/>
      <c r="J278" s="122"/>
    </row>
    <row r="279" spans="1:12" ht="15.75">
      <c r="A279" s="120" t="s">
        <v>153</v>
      </c>
      <c r="B279" s="122">
        <v>7000</v>
      </c>
      <c r="C279" s="122">
        <v>6000</v>
      </c>
      <c r="D279" s="5"/>
      <c r="E279" s="120" t="s">
        <v>86</v>
      </c>
      <c r="F279" s="132"/>
      <c r="G279" s="132"/>
      <c r="H279" s="132"/>
      <c r="I279" s="122"/>
      <c r="J279" s="122">
        <v>250000</v>
      </c>
      <c r="K279" s="5"/>
      <c r="L279" s="5"/>
    </row>
    <row r="280" spans="1:12" ht="15.75">
      <c r="A280" s="120" t="s">
        <v>154</v>
      </c>
      <c r="B280" s="122">
        <v>14000</v>
      </c>
      <c r="C280" s="122">
        <v>0</v>
      </c>
      <c r="D280" s="5"/>
      <c r="E280" s="120" t="s">
        <v>184</v>
      </c>
      <c r="F280" s="132"/>
      <c r="G280" s="132"/>
      <c r="H280" s="132"/>
      <c r="I280" s="122"/>
      <c r="J280" s="122">
        <v>80000</v>
      </c>
      <c r="K280" s="5"/>
      <c r="L280" s="5"/>
    </row>
    <row r="281" spans="1:12" ht="15.75">
      <c r="A281" s="120" t="s">
        <v>185</v>
      </c>
      <c r="B281" s="122">
        <v>20000</v>
      </c>
      <c r="C281" s="122">
        <v>48000</v>
      </c>
      <c r="D281" s="5"/>
      <c r="E281" s="120" t="s">
        <v>61</v>
      </c>
      <c r="F281" s="132"/>
      <c r="G281" s="132"/>
      <c r="H281" s="132"/>
      <c r="I281" s="122"/>
      <c r="J281" s="122">
        <v>100000</v>
      </c>
      <c r="K281" s="5"/>
      <c r="L281" s="5"/>
    </row>
    <row r="282" spans="1:12" ht="15.75">
      <c r="A282" s="120"/>
      <c r="B282" s="122"/>
      <c r="C282" s="122"/>
      <c r="D282" s="5"/>
      <c r="E282" s="120" t="s">
        <v>186</v>
      </c>
      <c r="F282" s="132"/>
      <c r="G282" s="132"/>
      <c r="H282" s="132"/>
      <c r="I282" s="122"/>
      <c r="J282" s="122">
        <v>40000</v>
      </c>
      <c r="K282" s="5"/>
      <c r="L282" s="5"/>
    </row>
    <row r="283" spans="1:12" ht="15.75">
      <c r="A283" s="120"/>
      <c r="B283" s="122"/>
      <c r="C283" s="122"/>
      <c r="D283" s="5"/>
      <c r="E283" s="120" t="s">
        <v>187</v>
      </c>
      <c r="F283" s="132"/>
      <c r="G283" s="132"/>
      <c r="H283" s="132"/>
      <c r="I283" s="122"/>
      <c r="J283" s="122">
        <v>-12000</v>
      </c>
      <c r="K283" s="5"/>
      <c r="L283" s="5"/>
    </row>
    <row r="284" spans="1:12" ht="15.75">
      <c r="A284" s="120" t="s">
        <v>26</v>
      </c>
      <c r="B284" s="122">
        <v>200000</v>
      </c>
      <c r="C284" s="122">
        <v>480000</v>
      </c>
      <c r="D284" s="5"/>
      <c r="E284" s="120"/>
      <c r="F284" s="132"/>
      <c r="G284" s="132"/>
      <c r="H284" s="132"/>
      <c r="I284" s="122"/>
      <c r="J284" s="122"/>
      <c r="K284" s="5"/>
      <c r="L284" s="5"/>
    </row>
    <row r="285" spans="1:12" ht="15.75">
      <c r="A285" s="120" t="s">
        <v>34</v>
      </c>
      <c r="B285" s="122">
        <v>1000</v>
      </c>
      <c r="C285" s="122">
        <v>1000</v>
      </c>
      <c r="D285" s="5"/>
      <c r="E285" s="117" t="s">
        <v>89</v>
      </c>
      <c r="F285" s="133"/>
      <c r="G285" s="134"/>
      <c r="H285" s="134"/>
      <c r="I285" s="126"/>
      <c r="J285" s="126">
        <v>573000</v>
      </c>
      <c r="K285" s="5"/>
      <c r="L285" s="5"/>
    </row>
    <row r="286" spans="1:12" ht="15.75">
      <c r="A286" s="120" t="s">
        <v>188</v>
      </c>
      <c r="B286" s="122">
        <v>2699000</v>
      </c>
      <c r="C286" s="122">
        <v>2699000</v>
      </c>
      <c r="D286" s="5"/>
      <c r="E286" s="120" t="s">
        <v>90</v>
      </c>
      <c r="F286" s="132"/>
      <c r="G286" s="132"/>
      <c r="H286" s="132"/>
      <c r="I286" s="122"/>
      <c r="J286" s="122">
        <v>48000</v>
      </c>
      <c r="K286" s="5"/>
      <c r="L286" s="5"/>
    </row>
    <row r="287" spans="1:12" ht="15.75">
      <c r="A287" s="120" t="s">
        <v>158</v>
      </c>
      <c r="B287" s="122">
        <v>2086000</v>
      </c>
      <c r="C287" s="122">
        <v>2453500</v>
      </c>
      <c r="D287" s="5"/>
      <c r="E287" s="135" t="s">
        <v>65</v>
      </c>
      <c r="F287" s="133"/>
      <c r="G287" s="134"/>
      <c r="H287" s="134"/>
      <c r="I287" s="126"/>
      <c r="J287" s="126">
        <v>525000</v>
      </c>
      <c r="K287" s="5"/>
      <c r="L287" s="5"/>
    </row>
    <row r="288" spans="1:12" ht="15.75">
      <c r="A288" s="124"/>
      <c r="B288" s="125"/>
      <c r="C288" s="125"/>
      <c r="D288" s="5"/>
      <c r="E288" s="120" t="s">
        <v>189</v>
      </c>
      <c r="F288" s="132"/>
      <c r="G288" s="132"/>
      <c r="H288" s="132"/>
      <c r="I288" s="122"/>
      <c r="J288" s="122">
        <v>157500</v>
      </c>
      <c r="K288" s="5"/>
      <c r="L288" s="5"/>
    </row>
    <row r="289" spans="1:12" ht="15.75">
      <c r="A289" s="117" t="s">
        <v>159</v>
      </c>
      <c r="B289" s="126">
        <v>5028000</v>
      </c>
      <c r="C289" s="126">
        <v>5700500</v>
      </c>
      <c r="D289" s="5"/>
      <c r="E289" s="117" t="s">
        <v>92</v>
      </c>
      <c r="F289" s="133"/>
      <c r="G289" s="134"/>
      <c r="H289" s="134"/>
      <c r="I289" s="126"/>
      <c r="J289" s="126">
        <v>367500</v>
      </c>
      <c r="K289" s="5"/>
      <c r="L289" s="5"/>
    </row>
    <row r="291" spans="1:12">
      <c r="A291" s="1088" t="s">
        <v>190</v>
      </c>
      <c r="B291" s="964"/>
      <c r="C291" s="964"/>
      <c r="D291" s="964"/>
      <c r="E291" s="964"/>
      <c r="F291" s="964"/>
      <c r="G291" s="964"/>
      <c r="H291" s="964"/>
      <c r="I291" s="964"/>
      <c r="J291" s="964"/>
      <c r="K291" s="964"/>
      <c r="L291" s="965"/>
    </row>
    <row r="292" spans="1:12">
      <c r="A292" s="966"/>
      <c r="B292" s="967"/>
      <c r="C292" s="967"/>
      <c r="D292" s="967"/>
      <c r="E292" s="967"/>
      <c r="F292" s="967"/>
      <c r="G292" s="967"/>
      <c r="H292" s="967"/>
      <c r="I292" s="967"/>
      <c r="J292" s="967"/>
      <c r="K292" s="967"/>
      <c r="L292" s="968"/>
    </row>
    <row r="293" spans="1:12">
      <c r="A293" s="966"/>
      <c r="B293" s="967"/>
      <c r="C293" s="967"/>
      <c r="D293" s="967"/>
      <c r="E293" s="967"/>
      <c r="F293" s="967"/>
      <c r="G293" s="967"/>
      <c r="H293" s="967"/>
      <c r="I293" s="967"/>
      <c r="J293" s="967"/>
      <c r="K293" s="967"/>
      <c r="L293" s="968"/>
    </row>
    <row r="294" spans="1:12">
      <c r="A294" s="966"/>
      <c r="B294" s="967"/>
      <c r="C294" s="967"/>
      <c r="D294" s="967"/>
      <c r="E294" s="967"/>
      <c r="F294" s="967"/>
      <c r="G294" s="967"/>
      <c r="H294" s="967"/>
      <c r="I294" s="967"/>
      <c r="J294" s="967"/>
      <c r="K294" s="967"/>
      <c r="L294" s="968"/>
    </row>
    <row r="295" spans="1:12">
      <c r="A295" s="966"/>
      <c r="B295" s="967"/>
      <c r="C295" s="967"/>
      <c r="D295" s="967"/>
      <c r="E295" s="967"/>
      <c r="F295" s="967"/>
      <c r="G295" s="967"/>
      <c r="H295" s="967"/>
      <c r="I295" s="967"/>
      <c r="J295" s="967"/>
      <c r="K295" s="967"/>
      <c r="L295" s="968"/>
    </row>
    <row r="296" spans="1:12">
      <c r="A296" s="966"/>
      <c r="B296" s="967"/>
      <c r="C296" s="967"/>
      <c r="D296" s="967"/>
      <c r="E296" s="967"/>
      <c r="F296" s="967"/>
      <c r="G296" s="967"/>
      <c r="H296" s="967"/>
      <c r="I296" s="967"/>
      <c r="J296" s="967"/>
      <c r="K296" s="967"/>
      <c r="L296" s="968"/>
    </row>
    <row r="297" spans="1:12">
      <c r="A297" s="969"/>
      <c r="B297" s="970"/>
      <c r="C297" s="970"/>
      <c r="D297" s="970"/>
      <c r="E297" s="970"/>
      <c r="F297" s="970"/>
      <c r="G297" s="970"/>
      <c r="H297" s="970"/>
      <c r="I297" s="970"/>
      <c r="J297" s="970"/>
      <c r="K297" s="970"/>
      <c r="L297" s="971"/>
    </row>
    <row r="299" spans="1:12" s="2" customFormat="1">
      <c r="A299" s="161">
        <v>7</v>
      </c>
    </row>
    <row r="300" spans="1:12" ht="21">
      <c r="A300" s="198"/>
      <c r="D300" s="10"/>
      <c r="E300" s="10"/>
      <c r="F300" s="10"/>
      <c r="G300" s="10"/>
      <c r="H300" s="10"/>
      <c r="I300" s="10"/>
      <c r="J300" s="10"/>
      <c r="K300" s="10"/>
      <c r="L300" s="10"/>
    </row>
    <row r="301" spans="1:12" ht="21">
      <c r="A301" s="166" t="s">
        <v>47</v>
      </c>
      <c r="B301" s="199">
        <v>2020</v>
      </c>
      <c r="C301" s="199">
        <v>2021</v>
      </c>
      <c r="D301" s="40"/>
      <c r="E301" s="40"/>
      <c r="F301" s="40"/>
      <c r="G301" s="200"/>
      <c r="H301" s="200"/>
      <c r="I301" s="200"/>
      <c r="J301" s="200"/>
      <c r="K301" s="200"/>
      <c r="L301" s="200"/>
    </row>
    <row r="302" spans="1:12" ht="21">
      <c r="A302" s="201"/>
      <c r="B302" s="170"/>
      <c r="C302" s="170"/>
      <c r="D302" s="40"/>
      <c r="E302" s="40"/>
      <c r="F302" s="40"/>
      <c r="G302" s="200"/>
      <c r="H302" s="200"/>
      <c r="I302" s="200"/>
      <c r="J302" s="200"/>
      <c r="K302" s="200"/>
      <c r="L302" s="200"/>
    </row>
    <row r="303" spans="1:12" ht="21">
      <c r="A303" s="202" t="s">
        <v>8</v>
      </c>
      <c r="B303" s="203">
        <v>100000</v>
      </c>
      <c r="C303" s="203">
        <v>294600</v>
      </c>
      <c r="D303" s="40"/>
      <c r="E303" s="40"/>
      <c r="F303" s="40"/>
      <c r="G303" s="200"/>
      <c r="H303" s="200"/>
      <c r="I303" s="200"/>
      <c r="J303" s="200"/>
      <c r="K303" s="200"/>
      <c r="L303" s="200"/>
    </row>
    <row r="304" spans="1:12" ht="21">
      <c r="A304" s="202" t="s">
        <v>146</v>
      </c>
      <c r="B304" s="203">
        <v>20000</v>
      </c>
      <c r="C304" s="203">
        <v>10000</v>
      </c>
      <c r="D304" s="40"/>
      <c r="E304" s="40"/>
      <c r="F304" s="40"/>
      <c r="G304" s="200"/>
      <c r="H304" s="200"/>
      <c r="I304" s="200"/>
      <c r="J304" s="200"/>
      <c r="K304" s="200"/>
      <c r="L304" s="200"/>
    </row>
    <row r="305" spans="1:12" ht="21">
      <c r="A305" s="202" t="s">
        <v>147</v>
      </c>
      <c r="B305" s="203">
        <v>155000</v>
      </c>
      <c r="C305" s="203">
        <v>170000</v>
      </c>
      <c r="D305" s="40"/>
      <c r="E305" s="40"/>
      <c r="F305" s="40"/>
      <c r="G305" s="200"/>
      <c r="H305" s="200"/>
      <c r="I305" s="200"/>
      <c r="J305" s="200"/>
      <c r="K305" s="200"/>
      <c r="L305" s="200"/>
    </row>
    <row r="306" spans="1:12" ht="21">
      <c r="A306" s="202" t="s">
        <v>148</v>
      </c>
      <c r="B306" s="203">
        <v>20000</v>
      </c>
      <c r="C306" s="203">
        <v>12000</v>
      </c>
      <c r="D306" s="40"/>
      <c r="E306" s="40"/>
      <c r="F306" s="40"/>
      <c r="G306" s="200"/>
      <c r="H306" s="200"/>
      <c r="I306" s="200"/>
      <c r="J306" s="200"/>
      <c r="K306" s="200"/>
      <c r="L306" s="200"/>
    </row>
    <row r="307" spans="1:12" ht="21">
      <c r="A307" s="202" t="s">
        <v>149</v>
      </c>
      <c r="B307" s="203">
        <v>20000</v>
      </c>
      <c r="C307" s="203">
        <v>25000</v>
      </c>
      <c r="D307" s="40"/>
      <c r="E307" s="40"/>
      <c r="F307" s="40"/>
      <c r="G307" s="200"/>
      <c r="H307" s="200"/>
      <c r="I307" s="200"/>
      <c r="J307" s="200"/>
      <c r="K307" s="200"/>
      <c r="L307" s="200"/>
    </row>
    <row r="308" spans="1:12" ht="21">
      <c r="A308" s="202"/>
      <c r="B308" s="203"/>
      <c r="C308" s="203"/>
      <c r="D308" s="40"/>
      <c r="E308" s="40"/>
      <c r="F308" s="40"/>
      <c r="G308" s="200"/>
      <c r="H308" s="200"/>
      <c r="I308" s="200"/>
      <c r="J308" s="200"/>
      <c r="K308" s="200"/>
      <c r="L308" s="200"/>
    </row>
    <row r="309" spans="1:12" ht="21">
      <c r="A309" s="202" t="s">
        <v>28</v>
      </c>
      <c r="B309" s="203">
        <v>5000000</v>
      </c>
      <c r="C309" s="203">
        <v>5200000</v>
      </c>
      <c r="D309" s="40"/>
      <c r="E309" s="40"/>
      <c r="F309" s="40"/>
      <c r="G309" s="200"/>
      <c r="H309" s="200"/>
      <c r="I309" s="200"/>
      <c r="J309" s="200"/>
      <c r="K309" s="200"/>
      <c r="L309" s="200"/>
    </row>
    <row r="310" spans="1:12" ht="21">
      <c r="A310" s="202" t="s">
        <v>30</v>
      </c>
      <c r="B310" s="203">
        <v>2000000</v>
      </c>
      <c r="C310" s="203">
        <v>2000000</v>
      </c>
      <c r="D310" s="40"/>
      <c r="E310" s="40"/>
      <c r="F310" s="40"/>
      <c r="G310" s="200"/>
      <c r="H310" s="200"/>
      <c r="I310" s="200"/>
      <c r="J310" s="200"/>
      <c r="K310" s="200"/>
      <c r="L310" s="200"/>
    </row>
    <row r="311" spans="1:12" ht="21">
      <c r="A311" s="202" t="s">
        <v>150</v>
      </c>
      <c r="B311" s="203">
        <v>-1000000</v>
      </c>
      <c r="C311" s="203">
        <v>-1450000</v>
      </c>
      <c r="D311" s="40"/>
      <c r="E311" s="40"/>
      <c r="F311" s="40"/>
      <c r="G311" s="200"/>
      <c r="H311" s="200"/>
      <c r="I311" s="200"/>
      <c r="J311" s="200"/>
      <c r="K311" s="200"/>
      <c r="L311" s="200"/>
    </row>
    <row r="312" spans="1:12" ht="21">
      <c r="A312" s="202" t="s">
        <v>151</v>
      </c>
      <c r="B312" s="203">
        <v>600000</v>
      </c>
      <c r="C312" s="203">
        <v>410000</v>
      </c>
      <c r="D312" s="40"/>
      <c r="E312" s="40"/>
      <c r="F312" s="40"/>
      <c r="G312" s="200"/>
      <c r="H312" s="200"/>
      <c r="I312" s="200"/>
      <c r="J312" s="200"/>
      <c r="K312" s="200"/>
      <c r="L312" s="200"/>
    </row>
    <row r="313" spans="1:12" ht="21">
      <c r="A313" s="202" t="s">
        <v>152</v>
      </c>
      <c r="B313" s="203">
        <v>-200000</v>
      </c>
      <c r="C313" s="203">
        <v>-210000</v>
      </c>
      <c r="D313" s="40"/>
      <c r="E313" s="40"/>
      <c r="F313" s="40"/>
      <c r="G313" s="200"/>
      <c r="H313" s="200"/>
      <c r="I313" s="200"/>
      <c r="J313" s="200"/>
      <c r="K313" s="200"/>
      <c r="L313" s="200"/>
    </row>
    <row r="314" spans="1:12" ht="21">
      <c r="A314" s="202"/>
      <c r="B314" s="203"/>
      <c r="C314" s="203"/>
      <c r="D314" s="40"/>
      <c r="E314" s="40"/>
      <c r="F314" s="40"/>
      <c r="G314" s="200"/>
      <c r="H314" s="200"/>
      <c r="I314" s="200"/>
      <c r="J314" s="200"/>
      <c r="K314" s="200"/>
      <c r="L314" s="200"/>
    </row>
    <row r="315" spans="1:12" ht="21.4" thickBot="1">
      <c r="A315" s="204" t="s">
        <v>52</v>
      </c>
      <c r="B315" s="205">
        <v>6715000</v>
      </c>
      <c r="C315" s="205">
        <v>6461600</v>
      </c>
      <c r="D315" s="40"/>
      <c r="E315" s="40"/>
      <c r="F315" s="40"/>
      <c r="G315" s="200"/>
      <c r="H315" s="200"/>
      <c r="I315" s="200"/>
      <c r="J315" s="200"/>
      <c r="K315" s="200"/>
      <c r="L315" s="200"/>
    </row>
    <row r="316" spans="1:12" ht="21.4" thickTop="1">
      <c r="A316" s="202"/>
      <c r="B316" s="203"/>
      <c r="C316" s="203"/>
      <c r="D316" s="40"/>
      <c r="E316" s="40"/>
      <c r="F316" s="40"/>
      <c r="G316" s="200"/>
      <c r="H316" s="200"/>
      <c r="I316" s="200"/>
      <c r="J316" s="200"/>
      <c r="K316" s="200"/>
      <c r="L316" s="200"/>
    </row>
    <row r="317" spans="1:12" ht="21">
      <c r="A317" s="202" t="s">
        <v>9</v>
      </c>
      <c r="B317" s="203">
        <v>90000</v>
      </c>
      <c r="C317" s="203">
        <v>120000</v>
      </c>
      <c r="D317" s="40"/>
      <c r="E317" s="40"/>
      <c r="F317" s="40"/>
      <c r="G317" s="200"/>
      <c r="H317" s="200"/>
      <c r="I317" s="200"/>
      <c r="J317" s="200"/>
      <c r="K317" s="200"/>
      <c r="L317" s="200"/>
    </row>
    <row r="318" spans="1:12" ht="21">
      <c r="A318" s="202" t="s">
        <v>153</v>
      </c>
      <c r="B318" s="203">
        <v>13000</v>
      </c>
      <c r="C318" s="203">
        <v>12000</v>
      </c>
      <c r="D318" s="40"/>
      <c r="E318" s="40"/>
      <c r="F318" s="40"/>
      <c r="G318" s="200"/>
      <c r="H318" s="200"/>
      <c r="I318" s="200"/>
      <c r="J318" s="200"/>
      <c r="K318" s="200"/>
      <c r="L318" s="200"/>
    </row>
    <row r="319" spans="1:12" ht="21">
      <c r="A319" s="202" t="s">
        <v>154</v>
      </c>
      <c r="B319" s="203">
        <v>30000</v>
      </c>
      <c r="C319" s="203">
        <v>40000</v>
      </c>
      <c r="D319" s="40"/>
      <c r="E319" s="40"/>
      <c r="F319" s="40"/>
      <c r="G319" s="200"/>
      <c r="H319" s="200"/>
      <c r="I319" s="200"/>
      <c r="J319" s="200"/>
      <c r="K319" s="200"/>
      <c r="L319" s="200"/>
    </row>
    <row r="320" spans="1:12" ht="21">
      <c r="A320" s="202" t="s">
        <v>155</v>
      </c>
      <c r="B320" s="203">
        <v>120000</v>
      </c>
      <c r="C320" s="203">
        <v>150000</v>
      </c>
      <c r="D320" s="40"/>
      <c r="E320" s="40"/>
      <c r="F320" s="40"/>
      <c r="G320" s="200"/>
      <c r="H320" s="200"/>
      <c r="I320" s="200"/>
      <c r="J320" s="200"/>
      <c r="K320" s="200"/>
      <c r="L320" s="200"/>
    </row>
    <row r="321" spans="1:12" ht="21">
      <c r="A321" s="202"/>
      <c r="B321" s="203"/>
      <c r="C321" s="203"/>
      <c r="D321" s="40"/>
      <c r="E321" s="40"/>
      <c r="F321" s="40"/>
      <c r="G321" s="200"/>
      <c r="H321" s="200"/>
      <c r="I321" s="200"/>
      <c r="J321" s="200"/>
      <c r="K321" s="200"/>
      <c r="L321" s="200"/>
    </row>
    <row r="322" spans="1:12" ht="21">
      <c r="A322" s="202"/>
      <c r="B322" s="203"/>
      <c r="C322" s="203"/>
      <c r="D322" s="40"/>
      <c r="E322" s="40"/>
      <c r="F322" s="40"/>
      <c r="G322" s="200"/>
      <c r="H322" s="200"/>
      <c r="I322" s="200"/>
      <c r="J322" s="200"/>
      <c r="K322" s="200"/>
      <c r="L322" s="200"/>
    </row>
    <row r="323" spans="1:12" ht="21">
      <c r="A323" s="202" t="s">
        <v>156</v>
      </c>
      <c r="B323" s="203">
        <v>540000</v>
      </c>
      <c r="C323" s="203">
        <v>650000</v>
      </c>
      <c r="D323" s="40"/>
      <c r="E323" s="40"/>
      <c r="F323" s="40"/>
      <c r="G323" s="200"/>
      <c r="H323" s="200"/>
      <c r="I323" s="200"/>
      <c r="J323" s="200"/>
      <c r="K323" s="200"/>
      <c r="L323" s="200"/>
    </row>
    <row r="324" spans="1:12" ht="21">
      <c r="A324" s="202" t="s">
        <v>34</v>
      </c>
      <c r="B324" s="203">
        <v>4500000</v>
      </c>
      <c r="C324" s="203">
        <v>4500000</v>
      </c>
      <c r="D324" s="40"/>
      <c r="E324" s="40"/>
      <c r="F324" s="40"/>
      <c r="G324" s="200"/>
      <c r="H324" s="200"/>
      <c r="I324" s="200"/>
      <c r="J324" s="200"/>
      <c r="K324" s="200"/>
      <c r="L324" s="200"/>
    </row>
    <row r="325" spans="1:12" ht="21">
      <c r="A325" s="202" t="s">
        <v>157</v>
      </c>
      <c r="B325" s="203">
        <v>100000</v>
      </c>
      <c r="C325" s="203">
        <v>100000</v>
      </c>
      <c r="D325" s="40"/>
      <c r="E325" s="40"/>
      <c r="F325" s="40"/>
      <c r="G325" s="200"/>
      <c r="H325" s="200"/>
      <c r="I325" s="200"/>
      <c r="J325" s="200"/>
      <c r="K325" s="200"/>
      <c r="L325" s="200"/>
    </row>
    <row r="326" spans="1:12" ht="21">
      <c r="A326" s="202" t="s">
        <v>158</v>
      </c>
      <c r="B326" s="203">
        <v>1322000</v>
      </c>
      <c r="C326" s="203">
        <v>889600</v>
      </c>
      <c r="D326" s="40"/>
      <c r="E326" s="40"/>
      <c r="F326" s="40"/>
      <c r="G326" s="200"/>
      <c r="H326" s="200"/>
      <c r="I326" s="200"/>
      <c r="J326" s="200"/>
      <c r="K326" s="200"/>
      <c r="L326" s="200"/>
    </row>
    <row r="327" spans="1:12" ht="21">
      <c r="A327" s="201"/>
      <c r="B327" s="174"/>
      <c r="C327" s="174"/>
      <c r="D327" s="40"/>
      <c r="E327" s="40"/>
      <c r="F327" s="40"/>
      <c r="G327" s="200"/>
      <c r="H327" s="200"/>
      <c r="I327" s="200"/>
      <c r="J327" s="200"/>
      <c r="K327" s="200"/>
      <c r="L327" s="200"/>
    </row>
    <row r="328" spans="1:12" ht="21">
      <c r="A328" s="206" t="s">
        <v>159</v>
      </c>
      <c r="B328" s="207">
        <v>6715000</v>
      </c>
      <c r="C328" s="207">
        <v>6461600</v>
      </c>
      <c r="D328" s="40"/>
      <c r="E328" s="40"/>
      <c r="F328" s="40"/>
      <c r="G328" s="200"/>
      <c r="H328" s="200"/>
      <c r="I328" s="200"/>
      <c r="J328" s="200"/>
      <c r="K328" s="200"/>
      <c r="L328" s="200"/>
    </row>
    <row r="329" spans="1:12" ht="21">
      <c r="A329" s="208"/>
      <c r="B329" s="208"/>
      <c r="C329" s="208"/>
      <c r="D329" s="40"/>
      <c r="E329" s="40"/>
      <c r="F329" s="40"/>
      <c r="G329" s="200"/>
      <c r="H329" s="200"/>
      <c r="I329" s="200"/>
      <c r="J329" s="200"/>
      <c r="K329" s="200"/>
      <c r="L329" s="200"/>
    </row>
    <row r="330" spans="1:12">
      <c r="A330" s="10"/>
      <c r="B330" s="10"/>
      <c r="C330" s="10"/>
      <c r="D330" s="10"/>
      <c r="E330" s="10"/>
      <c r="F330" s="10"/>
      <c r="G330" s="200"/>
      <c r="H330" s="200"/>
      <c r="I330" s="200"/>
      <c r="J330" s="200"/>
      <c r="K330" s="200"/>
      <c r="L330" s="200"/>
    </row>
    <row r="331" spans="1:12" ht="18.399999999999999" thickBot="1">
      <c r="A331" s="166" t="s">
        <v>69</v>
      </c>
      <c r="B331" s="167" t="s">
        <v>3</v>
      </c>
      <c r="C331" s="168" t="s">
        <v>70</v>
      </c>
      <c r="D331" s="167" t="s">
        <v>71</v>
      </c>
      <c r="E331" s="168" t="s">
        <v>72</v>
      </c>
      <c r="F331" s="169" t="s">
        <v>54</v>
      </c>
      <c r="G331" s="200"/>
      <c r="H331" s="200"/>
      <c r="I331" s="200"/>
      <c r="J331" s="200"/>
      <c r="K331" s="200"/>
      <c r="L331" s="200"/>
    </row>
    <row r="332" spans="1:12">
      <c r="A332" s="170"/>
      <c r="B332" s="171"/>
      <c r="C332" s="170"/>
      <c r="D332" s="171"/>
      <c r="E332" s="170"/>
      <c r="F332" s="172"/>
      <c r="G332" s="200"/>
      <c r="H332" s="200"/>
      <c r="I332" s="200"/>
      <c r="J332" s="200"/>
      <c r="K332" s="200"/>
      <c r="L332" s="200"/>
    </row>
    <row r="333" spans="1:12">
      <c r="A333" s="170" t="s">
        <v>73</v>
      </c>
      <c r="B333" s="173">
        <v>800000</v>
      </c>
      <c r="C333" s="174">
        <v>0</v>
      </c>
      <c r="D333" s="173">
        <v>20000</v>
      </c>
      <c r="E333" s="174">
        <v>14000</v>
      </c>
      <c r="F333" s="175">
        <v>766000</v>
      </c>
      <c r="G333" s="200"/>
      <c r="H333" s="200"/>
      <c r="I333" s="200"/>
      <c r="J333" s="200"/>
      <c r="K333" s="200"/>
      <c r="L333" s="200"/>
    </row>
    <row r="334" spans="1:12">
      <c r="A334" s="170" t="s">
        <v>74</v>
      </c>
      <c r="B334" s="173">
        <v>200000</v>
      </c>
      <c r="C334" s="174">
        <v>90000</v>
      </c>
      <c r="D334" s="173">
        <v>25000</v>
      </c>
      <c r="E334" s="174">
        <v>20000</v>
      </c>
      <c r="F334" s="175">
        <v>65000</v>
      </c>
      <c r="G334" s="200"/>
      <c r="H334" s="200"/>
      <c r="I334" s="200"/>
      <c r="J334" s="200"/>
      <c r="K334" s="200"/>
      <c r="L334" s="200"/>
    </row>
    <row r="335" spans="1:12">
      <c r="A335" s="170" t="s">
        <v>75</v>
      </c>
      <c r="B335" s="173">
        <v>100000</v>
      </c>
      <c r="C335" s="174">
        <v>65000</v>
      </c>
      <c r="D335" s="173">
        <v>12000</v>
      </c>
      <c r="E335" s="174">
        <v>15000</v>
      </c>
      <c r="F335" s="175">
        <v>8000</v>
      </c>
      <c r="G335" s="200"/>
      <c r="H335" s="200"/>
      <c r="I335" s="200"/>
      <c r="J335" s="200"/>
      <c r="K335" s="200"/>
      <c r="L335" s="200"/>
    </row>
    <row r="336" spans="1:12">
      <c r="A336" s="170" t="s">
        <v>76</v>
      </c>
      <c r="B336" s="173">
        <v>50000</v>
      </c>
      <c r="C336" s="174">
        <v>27500.000000000004</v>
      </c>
      <c r="D336" s="173">
        <v>5000</v>
      </c>
      <c r="E336" s="174">
        <v>6000</v>
      </c>
      <c r="F336" s="175">
        <v>11499.999999999996</v>
      </c>
      <c r="G336" s="200"/>
      <c r="H336" s="200"/>
      <c r="I336" s="200"/>
      <c r="J336" s="200"/>
      <c r="K336" s="200"/>
      <c r="L336" s="200"/>
    </row>
    <row r="337" spans="1:12">
      <c r="A337" s="170"/>
      <c r="B337" s="173"/>
      <c r="C337" s="174"/>
      <c r="D337" s="173"/>
      <c r="E337" s="174"/>
      <c r="F337" s="175"/>
      <c r="G337" s="200"/>
      <c r="H337" s="200"/>
      <c r="I337" s="200"/>
      <c r="J337" s="200"/>
      <c r="K337" s="200"/>
      <c r="L337" s="200"/>
    </row>
    <row r="338" spans="1:12" ht="14.65" thickBot="1">
      <c r="A338" s="176" t="s">
        <v>77</v>
      </c>
      <c r="B338" s="177">
        <v>1150000</v>
      </c>
      <c r="C338" s="178">
        <v>182500</v>
      </c>
      <c r="D338" s="177">
        <v>62000</v>
      </c>
      <c r="E338" s="178">
        <v>55000</v>
      </c>
      <c r="F338" s="179">
        <v>850500</v>
      </c>
      <c r="G338" s="200"/>
      <c r="H338" s="200"/>
      <c r="I338" s="200"/>
      <c r="J338" s="200"/>
      <c r="K338" s="200"/>
      <c r="L338" s="200"/>
    </row>
    <row r="339" spans="1:12">
      <c r="A339" s="170"/>
      <c r="B339" s="173"/>
      <c r="C339" s="174"/>
      <c r="D339" s="173"/>
      <c r="E339" s="174"/>
      <c r="F339" s="175"/>
      <c r="G339" s="200"/>
      <c r="H339" s="200"/>
      <c r="I339" s="200"/>
      <c r="J339" s="200"/>
      <c r="K339" s="200"/>
      <c r="L339" s="200"/>
    </row>
    <row r="340" spans="1:12">
      <c r="A340" s="170" t="s">
        <v>78</v>
      </c>
      <c r="B340" s="173"/>
      <c r="C340" s="174"/>
      <c r="D340" s="173"/>
      <c r="E340" s="174"/>
      <c r="F340" s="175"/>
      <c r="G340" s="200"/>
      <c r="H340" s="200"/>
      <c r="I340" s="200"/>
      <c r="J340" s="200"/>
      <c r="K340" s="200"/>
      <c r="L340" s="200"/>
    </row>
    <row r="341" spans="1:12">
      <c r="A341" s="170" t="s">
        <v>79</v>
      </c>
      <c r="B341" s="173"/>
      <c r="C341" s="174"/>
      <c r="D341" s="173">
        <v>30000</v>
      </c>
      <c r="E341" s="174">
        <v>6000</v>
      </c>
      <c r="F341" s="175">
        <v>36000</v>
      </c>
      <c r="G341" s="200"/>
      <c r="H341" s="200"/>
      <c r="I341" s="200"/>
      <c r="J341" s="200"/>
      <c r="K341" s="200"/>
      <c r="L341" s="200"/>
    </row>
    <row r="342" spans="1:12">
      <c r="A342" s="170" t="s">
        <v>80</v>
      </c>
      <c r="B342" s="173"/>
      <c r="C342" s="174"/>
      <c r="D342" s="173">
        <v>24000</v>
      </c>
      <c r="E342" s="174">
        <v>2500</v>
      </c>
      <c r="F342" s="175">
        <v>26500</v>
      </c>
      <c r="G342" s="200"/>
      <c r="H342" s="200"/>
      <c r="I342" s="200"/>
      <c r="J342" s="200"/>
      <c r="K342" s="200"/>
      <c r="L342" s="200"/>
    </row>
    <row r="343" spans="1:12">
      <c r="A343" s="170" t="s">
        <v>81</v>
      </c>
      <c r="B343" s="173"/>
      <c r="C343" s="174"/>
      <c r="D343" s="173">
        <v>12000</v>
      </c>
      <c r="E343" s="174">
        <v>2600</v>
      </c>
      <c r="F343" s="175">
        <v>14600</v>
      </c>
      <c r="G343" s="200"/>
      <c r="H343" s="200"/>
      <c r="I343" s="200"/>
      <c r="J343" s="200"/>
      <c r="K343" s="200"/>
      <c r="L343" s="200"/>
    </row>
    <row r="344" spans="1:12">
      <c r="A344" s="170" t="s">
        <v>82</v>
      </c>
      <c r="B344" s="173"/>
      <c r="C344" s="174"/>
      <c r="D344" s="173"/>
      <c r="E344" s="174">
        <v>3900</v>
      </c>
      <c r="F344" s="175">
        <v>3900</v>
      </c>
      <c r="G344" s="200"/>
      <c r="H344" s="200"/>
      <c r="I344" s="200"/>
      <c r="J344" s="200"/>
      <c r="K344" s="200"/>
      <c r="L344" s="200"/>
    </row>
    <row r="345" spans="1:12">
      <c r="A345" s="170" t="s">
        <v>83</v>
      </c>
      <c r="B345" s="173"/>
      <c r="C345" s="174"/>
      <c r="D345" s="173"/>
      <c r="E345" s="174"/>
      <c r="F345" s="175">
        <v>81000</v>
      </c>
      <c r="G345" s="200"/>
      <c r="H345" s="200"/>
      <c r="I345" s="200"/>
      <c r="J345" s="200"/>
      <c r="K345" s="200"/>
      <c r="L345" s="200"/>
    </row>
    <row r="346" spans="1:12" ht="14.65" thickBot="1">
      <c r="A346" s="180" t="s">
        <v>84</v>
      </c>
      <c r="B346" s="181"/>
      <c r="C346" s="182"/>
      <c r="D346" s="181"/>
      <c r="E346" s="182"/>
      <c r="F346" s="183">
        <v>769500</v>
      </c>
      <c r="G346" s="200"/>
      <c r="H346" s="200"/>
      <c r="I346" s="200"/>
      <c r="J346" s="200"/>
      <c r="K346" s="200"/>
      <c r="L346" s="200"/>
    </row>
    <row r="347" spans="1:12">
      <c r="A347" s="170"/>
      <c r="B347" s="173"/>
      <c r="C347" s="173"/>
      <c r="D347" s="173"/>
      <c r="E347" s="173"/>
      <c r="F347" s="175"/>
      <c r="G347" s="200"/>
      <c r="H347" s="200"/>
      <c r="I347" s="200"/>
      <c r="J347" s="200"/>
      <c r="K347" s="200"/>
      <c r="L347" s="200"/>
    </row>
    <row r="348" spans="1:12">
      <c r="A348" s="170" t="s">
        <v>85</v>
      </c>
      <c r="B348" s="173"/>
      <c r="C348" s="173"/>
      <c r="D348" s="173"/>
      <c r="E348" s="173"/>
      <c r="F348" s="175"/>
      <c r="G348" s="200"/>
      <c r="H348" s="200"/>
      <c r="I348" s="200"/>
      <c r="J348" s="200"/>
      <c r="K348" s="200"/>
      <c r="L348" s="200"/>
    </row>
    <row r="349" spans="1:12">
      <c r="A349" s="170" t="s">
        <v>86</v>
      </c>
      <c r="B349" s="173"/>
      <c r="C349" s="173"/>
      <c r="D349" s="173"/>
      <c r="E349" s="173"/>
      <c r="F349" s="174">
        <v>50000</v>
      </c>
      <c r="G349" s="200"/>
      <c r="H349" s="200"/>
      <c r="I349" s="200"/>
      <c r="J349" s="200"/>
      <c r="K349" s="200"/>
      <c r="L349" s="200"/>
    </row>
    <row r="350" spans="1:12">
      <c r="A350" s="170" t="s">
        <v>87</v>
      </c>
      <c r="B350" s="173"/>
      <c r="C350" s="173"/>
      <c r="D350" s="173"/>
      <c r="E350" s="173"/>
      <c r="F350" s="174">
        <v>50000</v>
      </c>
      <c r="G350" s="200"/>
      <c r="H350" s="200"/>
      <c r="I350" s="200"/>
      <c r="J350" s="200"/>
      <c r="K350" s="200"/>
      <c r="L350" s="200"/>
    </row>
    <row r="351" spans="1:12">
      <c r="A351" s="170" t="s">
        <v>239</v>
      </c>
      <c r="B351" s="173"/>
      <c r="C351" s="173"/>
      <c r="D351" s="173"/>
      <c r="E351" s="173"/>
      <c r="F351" s="174">
        <v>450000</v>
      </c>
      <c r="G351" s="200"/>
      <c r="H351" s="200"/>
      <c r="I351" s="200"/>
      <c r="J351" s="200"/>
      <c r="K351" s="200"/>
      <c r="L351" s="200"/>
    </row>
    <row r="352" spans="1:12">
      <c r="A352" s="170" t="s">
        <v>62</v>
      </c>
      <c r="B352" s="173"/>
      <c r="C352" s="173"/>
      <c r="D352" s="173"/>
      <c r="E352" s="173"/>
      <c r="F352" s="174">
        <v>200000</v>
      </c>
      <c r="G352" s="200"/>
      <c r="H352" s="200"/>
      <c r="I352" s="200"/>
      <c r="J352" s="200"/>
      <c r="K352" s="200"/>
      <c r="L352" s="200"/>
    </row>
    <row r="353" spans="1:12">
      <c r="A353" s="170" t="s">
        <v>167</v>
      </c>
      <c r="B353" s="173"/>
      <c r="C353" s="173"/>
      <c r="D353" s="173"/>
      <c r="E353" s="173"/>
      <c r="F353" s="174">
        <v>75000</v>
      </c>
      <c r="G353" s="200"/>
      <c r="H353" s="200"/>
      <c r="I353" s="200"/>
      <c r="J353" s="200"/>
      <c r="K353" s="200"/>
      <c r="L353" s="200"/>
    </row>
    <row r="354" spans="1:12">
      <c r="A354" s="170"/>
      <c r="B354" s="173"/>
      <c r="C354" s="173"/>
      <c r="D354" s="173"/>
      <c r="E354" s="173"/>
      <c r="F354" s="174"/>
      <c r="G354" s="200"/>
      <c r="H354" s="200"/>
      <c r="I354" s="200"/>
      <c r="J354" s="200"/>
      <c r="K354" s="200"/>
      <c r="L354" s="200"/>
    </row>
    <row r="355" spans="1:12" ht="14.65" thickBot="1">
      <c r="A355" s="180" t="s">
        <v>89</v>
      </c>
      <c r="B355" s="181"/>
      <c r="C355" s="181"/>
      <c r="D355" s="181"/>
      <c r="E355" s="181"/>
      <c r="F355" s="182">
        <v>94500</v>
      </c>
      <c r="G355" s="200"/>
      <c r="H355" s="200"/>
      <c r="I355" s="200"/>
      <c r="J355" s="200"/>
      <c r="K355" s="200"/>
      <c r="L355" s="200"/>
    </row>
    <row r="356" spans="1:12">
      <c r="A356" s="170" t="s">
        <v>90</v>
      </c>
      <c r="B356" s="173"/>
      <c r="C356" s="173"/>
      <c r="D356" s="173"/>
      <c r="E356" s="173"/>
      <c r="F356" s="174">
        <v>10000</v>
      </c>
      <c r="G356" s="200"/>
      <c r="H356" s="200"/>
      <c r="I356" s="200"/>
      <c r="J356" s="200"/>
      <c r="K356" s="200"/>
      <c r="L356" s="200"/>
    </row>
    <row r="357" spans="1:12">
      <c r="A357" s="184" t="s">
        <v>65</v>
      </c>
      <c r="B357" s="185"/>
      <c r="C357" s="185"/>
      <c r="D357" s="185"/>
      <c r="E357" s="185"/>
      <c r="F357" s="186">
        <v>84500</v>
      </c>
      <c r="G357" s="200"/>
      <c r="H357" s="200"/>
      <c r="I357" s="200"/>
      <c r="J357" s="200"/>
      <c r="K357" s="200"/>
      <c r="L357" s="200"/>
    </row>
    <row r="358" spans="1:12">
      <c r="A358" s="170" t="s">
        <v>91</v>
      </c>
      <c r="B358" s="173"/>
      <c r="C358" s="173"/>
      <c r="D358" s="173"/>
      <c r="E358" s="173"/>
      <c r="F358" s="174">
        <v>16900</v>
      </c>
      <c r="G358" s="200"/>
      <c r="H358" s="200"/>
      <c r="I358" s="200"/>
      <c r="J358" s="200"/>
      <c r="K358" s="200"/>
      <c r="L358" s="200"/>
    </row>
    <row r="359" spans="1:12" ht="15.75">
      <c r="A359" s="187" t="s">
        <v>92</v>
      </c>
      <c r="B359" s="188"/>
      <c r="C359" s="188"/>
      <c r="D359" s="188"/>
      <c r="E359" s="188"/>
      <c r="F359" s="189">
        <v>67600</v>
      </c>
      <c r="G359" s="200"/>
      <c r="H359" s="200"/>
      <c r="I359" s="200"/>
      <c r="J359" s="200"/>
      <c r="K359" s="200"/>
      <c r="L359" s="200"/>
    </row>
    <row r="360" spans="1:12">
      <c r="A360" s="200"/>
      <c r="B360" s="200"/>
      <c r="C360" s="200"/>
      <c r="D360" s="200"/>
      <c r="E360" s="200"/>
      <c r="F360" s="200"/>
      <c r="G360" s="200"/>
      <c r="H360" s="200"/>
      <c r="I360" s="200"/>
      <c r="J360" s="200"/>
      <c r="K360" s="200"/>
      <c r="L360" s="200"/>
    </row>
    <row r="361" spans="1:12" ht="21">
      <c r="A361" s="193" t="s">
        <v>279</v>
      </c>
      <c r="B361" s="193"/>
      <c r="C361" s="193"/>
      <c r="D361" s="40"/>
      <c r="E361" s="40"/>
      <c r="F361" s="40"/>
      <c r="G361" s="200"/>
      <c r="H361" s="200"/>
      <c r="I361" s="200"/>
      <c r="J361" s="200"/>
      <c r="K361" s="200"/>
      <c r="L361" s="200"/>
    </row>
    <row r="362" spans="1:12" ht="21">
      <c r="A362" s="192" t="s">
        <v>280</v>
      </c>
      <c r="B362" s="193"/>
      <c r="C362" s="193"/>
      <c r="D362" s="40"/>
      <c r="E362" s="40"/>
      <c r="F362" s="40"/>
      <c r="G362" s="200"/>
      <c r="H362" s="200"/>
      <c r="I362" s="200"/>
      <c r="J362" s="200"/>
      <c r="K362" s="200"/>
      <c r="L362" s="200"/>
    </row>
    <row r="363" spans="1:12" ht="21">
      <c r="A363" s="192" t="s">
        <v>281</v>
      </c>
      <c r="B363" s="193"/>
      <c r="C363" s="193"/>
      <c r="D363" s="40"/>
      <c r="E363" s="40"/>
      <c r="F363" s="40"/>
      <c r="G363" s="200"/>
      <c r="H363" s="200"/>
      <c r="I363" s="200"/>
      <c r="J363" s="200"/>
      <c r="K363" s="200"/>
      <c r="L363" s="200"/>
    </row>
    <row r="364" spans="1:12" ht="21">
      <c r="A364" s="192" t="s">
        <v>282</v>
      </c>
      <c r="B364" s="193"/>
      <c r="C364" s="193"/>
      <c r="D364" s="40"/>
      <c r="E364" s="40"/>
      <c r="F364" s="40"/>
      <c r="G364" s="200"/>
      <c r="H364" s="200"/>
      <c r="I364" s="200"/>
      <c r="J364" s="200"/>
      <c r="K364" s="200"/>
      <c r="L364" s="200"/>
    </row>
    <row r="365" spans="1:12" ht="21">
      <c r="A365" s="192" t="s">
        <v>283</v>
      </c>
      <c r="B365" s="193"/>
      <c r="C365" s="193"/>
      <c r="D365" s="40"/>
      <c r="E365" s="40"/>
      <c r="F365" s="40"/>
      <c r="G365" s="200"/>
      <c r="H365" s="200"/>
      <c r="I365" s="200"/>
      <c r="J365" s="200"/>
      <c r="K365" s="200"/>
      <c r="L365" s="200"/>
    </row>
    <row r="367" spans="1:12" s="191" customFormat="1" ht="14.65" customHeight="1">
      <c r="A367" s="1019" t="s">
        <v>191</v>
      </c>
      <c r="B367" s="1020"/>
      <c r="C367" s="1020"/>
      <c r="D367" s="1020"/>
      <c r="E367" s="1020"/>
      <c r="F367" s="1020"/>
      <c r="G367" s="1020"/>
      <c r="H367" s="1020"/>
      <c r="I367" s="1020"/>
      <c r="J367" s="1020"/>
      <c r="K367" s="1092"/>
    </row>
    <row r="368" spans="1:12" s="191" customFormat="1" ht="15" customHeight="1">
      <c r="A368" s="997" t="s">
        <v>192</v>
      </c>
      <c r="B368" s="998"/>
      <c r="C368" s="998"/>
      <c r="D368" s="998"/>
      <c r="E368" s="998"/>
      <c r="F368" s="998"/>
      <c r="G368" s="998"/>
      <c r="H368" s="998"/>
      <c r="I368" s="998"/>
      <c r="J368" s="998"/>
      <c r="K368" s="999"/>
    </row>
    <row r="370" spans="1:12">
      <c r="A370" s="74"/>
    </row>
    <row r="372" spans="1:12" s="2" customFormat="1">
      <c r="A372" s="161">
        <v>8</v>
      </c>
    </row>
    <row r="374" spans="1:12" ht="21">
      <c r="A374" s="194" t="s">
        <v>193</v>
      </c>
      <c r="B374" s="195"/>
      <c r="C374" s="195"/>
      <c r="D374" s="195"/>
      <c r="E374" s="195"/>
      <c r="F374" s="195"/>
      <c r="G374" s="196"/>
      <c r="H374" s="196"/>
      <c r="I374" s="191"/>
      <c r="J374" s="191"/>
      <c r="K374" s="191"/>
      <c r="L374" s="191"/>
    </row>
    <row r="375" spans="1:12" ht="21">
      <c r="A375" s="197"/>
      <c r="B375" s="196"/>
      <c r="C375" s="196"/>
      <c r="D375" s="196"/>
      <c r="E375" s="196"/>
      <c r="F375" s="196"/>
      <c r="G375" s="196"/>
      <c r="H375" s="196"/>
      <c r="I375" s="191"/>
      <c r="J375" s="191"/>
      <c r="K375" s="191"/>
      <c r="L375" s="191"/>
    </row>
    <row r="376" spans="1:12" ht="21">
      <c r="A376" s="197"/>
      <c r="B376" s="196"/>
      <c r="C376" s="196"/>
      <c r="D376" s="196"/>
      <c r="E376" s="196"/>
      <c r="F376" s="196"/>
      <c r="G376" s="196"/>
      <c r="H376" s="196"/>
      <c r="I376" s="191"/>
      <c r="J376" s="191"/>
      <c r="K376" s="191"/>
      <c r="L376" s="191"/>
    </row>
    <row r="377" spans="1:12" ht="21">
      <c r="A377" s="196"/>
      <c r="B377" s="196"/>
      <c r="C377" s="196"/>
      <c r="D377" s="196"/>
      <c r="E377" s="196"/>
      <c r="F377" s="196"/>
      <c r="G377" s="196"/>
      <c r="H377" s="196"/>
      <c r="I377" s="191"/>
      <c r="J377" s="191"/>
      <c r="K377" s="191"/>
      <c r="L377" s="191"/>
    </row>
    <row r="378" spans="1:12" ht="21">
      <c r="A378" s="196"/>
      <c r="B378" s="196"/>
      <c r="C378" s="196"/>
      <c r="D378" s="196"/>
      <c r="E378" s="196"/>
      <c r="F378" s="196"/>
      <c r="G378" s="196"/>
      <c r="H378" s="196"/>
      <c r="I378" s="191"/>
      <c r="J378" s="191"/>
      <c r="K378" s="191"/>
      <c r="L378" s="191"/>
    </row>
    <row r="379" spans="1:12" ht="21">
      <c r="A379" s="196"/>
      <c r="B379" s="196"/>
      <c r="C379" s="196"/>
      <c r="D379" s="196"/>
      <c r="E379" s="196"/>
      <c r="F379" s="196"/>
      <c r="G379" s="196"/>
      <c r="H379" s="196"/>
      <c r="I379" s="191"/>
      <c r="J379" s="191"/>
      <c r="K379" s="191"/>
      <c r="L379" s="191"/>
    </row>
    <row r="380" spans="1:12" ht="21">
      <c r="A380" s="196"/>
      <c r="B380" s="196"/>
      <c r="C380" s="196"/>
      <c r="D380" s="196"/>
      <c r="E380" s="196"/>
      <c r="F380" s="196"/>
      <c r="G380" s="196"/>
      <c r="H380" s="196"/>
      <c r="I380" s="191"/>
      <c r="J380" s="191"/>
      <c r="K380" s="191"/>
      <c r="L380" s="191"/>
    </row>
    <row r="381" spans="1:12" ht="21">
      <c r="A381" s="196"/>
      <c r="B381" s="196"/>
      <c r="C381" s="196"/>
      <c r="D381" s="196"/>
      <c r="E381" s="196"/>
      <c r="F381" s="196"/>
      <c r="G381" s="196"/>
      <c r="H381" s="196"/>
      <c r="I381" s="191"/>
      <c r="J381" s="191"/>
      <c r="K381" s="191"/>
      <c r="L381" s="191"/>
    </row>
    <row r="382" spans="1:12" ht="21">
      <c r="A382" s="196"/>
      <c r="B382" s="196"/>
      <c r="C382" s="196"/>
      <c r="D382" s="196"/>
      <c r="E382" s="196"/>
      <c r="F382" s="196"/>
      <c r="G382" s="196"/>
      <c r="H382" s="196"/>
      <c r="I382" s="191"/>
      <c r="J382" s="191"/>
      <c r="K382" s="191"/>
      <c r="L382" s="191"/>
    </row>
    <row r="383" spans="1:12" ht="21">
      <c r="A383" s="196"/>
      <c r="B383" s="196"/>
      <c r="C383" s="196"/>
      <c r="D383" s="196"/>
      <c r="E383" s="196"/>
      <c r="F383" s="196"/>
      <c r="G383" s="196"/>
      <c r="H383" s="196"/>
      <c r="I383" s="191"/>
      <c r="J383" s="191"/>
      <c r="K383" s="191"/>
      <c r="L383" s="191"/>
    </row>
    <row r="384" spans="1:12" ht="21">
      <c r="A384" s="196"/>
      <c r="B384" s="196"/>
      <c r="C384" s="196"/>
      <c r="D384" s="196"/>
      <c r="E384" s="196"/>
      <c r="F384" s="196"/>
      <c r="G384" s="196"/>
      <c r="H384" s="196"/>
      <c r="I384" s="191"/>
      <c r="J384" s="191"/>
      <c r="K384" s="191"/>
      <c r="L384" s="191"/>
    </row>
    <row r="385" spans="1:12" ht="21">
      <c r="A385" s="196"/>
      <c r="B385" s="196"/>
      <c r="C385" s="196"/>
      <c r="D385" s="196"/>
      <c r="E385" s="196"/>
      <c r="F385" s="196"/>
      <c r="G385" s="196"/>
      <c r="H385" s="196"/>
      <c r="I385" s="191"/>
      <c r="J385" s="191"/>
      <c r="K385" s="191"/>
      <c r="L385" s="191"/>
    </row>
    <row r="386" spans="1:12" ht="21">
      <c r="A386" s="196"/>
      <c r="B386" s="196"/>
      <c r="C386" s="196"/>
      <c r="D386" s="196"/>
      <c r="E386" s="196"/>
      <c r="F386" s="196"/>
      <c r="G386" s="196"/>
      <c r="H386" s="196"/>
      <c r="I386" s="191"/>
      <c r="J386" s="191"/>
      <c r="K386" s="191"/>
      <c r="L386" s="191"/>
    </row>
    <row r="387" spans="1:12" ht="21">
      <c r="A387" s="196"/>
      <c r="B387" s="196"/>
      <c r="C387" s="196"/>
      <c r="D387" s="196"/>
      <c r="E387" s="196"/>
      <c r="F387" s="196"/>
      <c r="G387" s="196"/>
      <c r="H387" s="196"/>
      <c r="I387" s="191"/>
      <c r="J387" s="191"/>
      <c r="K387" s="191"/>
      <c r="L387" s="191"/>
    </row>
    <row r="388" spans="1:12" ht="21">
      <c r="A388" s="196"/>
      <c r="B388" s="196"/>
      <c r="C388" s="196"/>
      <c r="D388" s="196"/>
      <c r="E388" s="196"/>
      <c r="F388" s="196"/>
      <c r="G388" s="196"/>
      <c r="H388" s="196"/>
      <c r="I388" s="191"/>
      <c r="J388" s="191"/>
      <c r="K388" s="191"/>
      <c r="L388" s="191"/>
    </row>
    <row r="389" spans="1:12" ht="21">
      <c r="A389" s="196"/>
      <c r="B389" s="196"/>
      <c r="C389" s="196"/>
      <c r="D389" s="196"/>
      <c r="E389" s="196"/>
      <c r="F389" s="196"/>
      <c r="G389" s="196"/>
      <c r="H389" s="196"/>
      <c r="I389" s="191"/>
      <c r="J389" s="191"/>
      <c r="K389" s="191"/>
      <c r="L389" s="191"/>
    </row>
    <row r="390" spans="1:12" ht="21">
      <c r="A390" s="196"/>
      <c r="B390" s="196"/>
      <c r="C390" s="196"/>
      <c r="D390" s="196"/>
      <c r="E390" s="196"/>
      <c r="F390" s="196"/>
      <c r="G390" s="196"/>
      <c r="H390" s="196"/>
      <c r="I390" s="191"/>
      <c r="J390" s="191"/>
      <c r="K390" s="191"/>
      <c r="L390" s="191"/>
    </row>
    <row r="391" spans="1:12">
      <c r="A391" s="191"/>
      <c r="B391" s="191"/>
      <c r="C391" s="191"/>
      <c r="D391" s="191"/>
      <c r="E391" s="191"/>
      <c r="F391" s="191"/>
      <c r="G391" s="191"/>
      <c r="H391" s="191"/>
      <c r="I391" s="191"/>
      <c r="J391" s="191"/>
      <c r="K391" s="191"/>
      <c r="L391" s="191"/>
    </row>
    <row r="392" spans="1:12">
      <c r="A392" s="191"/>
      <c r="B392" s="191"/>
      <c r="C392" s="191"/>
      <c r="D392" s="191"/>
      <c r="E392" s="191"/>
      <c r="F392" s="191"/>
      <c r="G392" s="191"/>
      <c r="H392" s="191"/>
      <c r="I392" s="191"/>
      <c r="J392" s="191"/>
      <c r="K392" s="191"/>
      <c r="L392" s="191"/>
    </row>
    <row r="393" spans="1:12">
      <c r="A393" s="191"/>
      <c r="B393" s="191"/>
      <c r="C393" s="191"/>
      <c r="D393" s="191"/>
      <c r="E393" s="191"/>
      <c r="F393" s="191"/>
      <c r="G393" s="191"/>
      <c r="H393" s="191"/>
      <c r="I393" s="191"/>
      <c r="J393" s="191"/>
      <c r="K393" s="191"/>
      <c r="L393" s="191"/>
    </row>
    <row r="394" spans="1:12">
      <c r="A394" s="191"/>
      <c r="B394" s="191"/>
      <c r="C394" s="191"/>
      <c r="D394" s="191"/>
      <c r="E394" s="191"/>
      <c r="F394" s="191"/>
      <c r="G394" s="191"/>
      <c r="H394" s="191"/>
      <c r="I394" s="191"/>
      <c r="J394" s="191"/>
      <c r="K394" s="191"/>
      <c r="L394" s="191"/>
    </row>
    <row r="395" spans="1:12">
      <c r="A395" s="191"/>
      <c r="B395" s="191"/>
      <c r="C395" s="191"/>
      <c r="D395" s="191"/>
      <c r="E395" s="191"/>
      <c r="F395" s="191"/>
      <c r="G395" s="191"/>
      <c r="H395" s="191"/>
      <c r="I395" s="191"/>
      <c r="J395" s="191"/>
      <c r="K395" s="191"/>
      <c r="L395" s="191"/>
    </row>
    <row r="396" spans="1:12" ht="15.75">
      <c r="A396" s="1089" t="s">
        <v>194</v>
      </c>
      <c r="B396" s="1090"/>
      <c r="C396" s="1090"/>
      <c r="D396" s="1090"/>
      <c r="E396" s="1090"/>
      <c r="F396" s="1090"/>
      <c r="G396" s="1090"/>
      <c r="H396" s="1090"/>
      <c r="I396" s="1090"/>
      <c r="J396" s="1090"/>
      <c r="K396" s="1090"/>
    </row>
    <row r="397" spans="1:12" ht="15.75">
      <c r="A397" s="1091" t="s">
        <v>195</v>
      </c>
      <c r="B397" s="1091"/>
      <c r="C397" s="1091"/>
      <c r="D397" s="1091"/>
      <c r="E397" s="1091"/>
      <c r="F397" s="1091"/>
      <c r="G397" s="1091"/>
      <c r="H397" s="1091"/>
      <c r="I397" s="1091"/>
      <c r="J397" s="1091"/>
      <c r="K397" s="1091"/>
    </row>
    <row r="398" spans="1:12" ht="15.75">
      <c r="A398" s="1091" t="s">
        <v>196</v>
      </c>
      <c r="B398" s="1091"/>
      <c r="C398" s="1091"/>
      <c r="D398" s="1091"/>
      <c r="E398" s="1091"/>
      <c r="F398" s="1091"/>
      <c r="G398" s="1091"/>
      <c r="H398" s="1091"/>
      <c r="I398" s="1091"/>
      <c r="J398" s="1091"/>
      <c r="K398" s="1091"/>
    </row>
    <row r="399" spans="1:12" ht="15.75">
      <c r="A399" s="1091" t="s">
        <v>197</v>
      </c>
      <c r="B399" s="1091"/>
      <c r="C399" s="1091"/>
      <c r="D399" s="1091"/>
      <c r="E399" s="1091"/>
      <c r="F399" s="1091"/>
      <c r="G399" s="1091"/>
      <c r="H399" s="1091"/>
      <c r="I399" s="1091"/>
      <c r="J399" s="1091"/>
      <c r="K399" s="1091"/>
    </row>
    <row r="400" spans="1:12">
      <c r="A400" t="s">
        <v>863</v>
      </c>
      <c r="B400" t="s">
        <v>864</v>
      </c>
      <c r="C400" t="s">
        <v>865</v>
      </c>
    </row>
    <row r="401" spans="1:12" s="2" customFormat="1">
      <c r="A401" s="161">
        <v>9</v>
      </c>
    </row>
    <row r="403" spans="1:12" ht="15.75">
      <c r="A403" s="209" t="s">
        <v>198</v>
      </c>
      <c r="B403" s="209"/>
      <c r="C403" s="209"/>
      <c r="D403" s="209"/>
      <c r="E403" s="209"/>
      <c r="F403" s="209"/>
      <c r="G403" s="209"/>
      <c r="H403" s="190"/>
      <c r="I403" s="190"/>
      <c r="J403" s="190"/>
      <c r="K403" s="190"/>
    </row>
    <row r="404" spans="1:12" ht="15.75" customHeight="1">
      <c r="A404" s="1093" t="s">
        <v>199</v>
      </c>
      <c r="B404" s="1091"/>
      <c r="C404" s="1091"/>
      <c r="D404" s="1091"/>
      <c r="E404" s="1091"/>
      <c r="F404" s="1091"/>
      <c r="G404" s="1091"/>
      <c r="H404" s="1091"/>
      <c r="I404" s="1091"/>
      <c r="J404" s="1091"/>
      <c r="K404" s="1094"/>
    </row>
    <row r="405" spans="1:12" ht="15.75" customHeight="1">
      <c r="A405" s="1093" t="s">
        <v>200</v>
      </c>
      <c r="B405" s="1091"/>
      <c r="C405" s="1091"/>
      <c r="D405" s="1091"/>
      <c r="E405" s="1091"/>
      <c r="F405" s="1091"/>
      <c r="G405" s="1091"/>
      <c r="H405" s="1091"/>
      <c r="I405" s="1091"/>
      <c r="J405" s="1091"/>
      <c r="K405" s="1094"/>
    </row>
    <row r="407" spans="1:12" s="2" customFormat="1">
      <c r="A407" s="161">
        <v>10</v>
      </c>
    </row>
    <row r="409" spans="1:12" ht="15.75">
      <c r="A409" s="211" t="s">
        <v>201</v>
      </c>
      <c r="B409" s="219"/>
      <c r="C409" s="212"/>
      <c r="D409" s="212"/>
      <c r="E409" s="212"/>
      <c r="F409" s="212"/>
      <c r="G409" s="212"/>
      <c r="H409" s="212"/>
      <c r="I409" s="212"/>
      <c r="J409" s="212"/>
      <c r="K409" s="212"/>
      <c r="L409" s="212"/>
    </row>
    <row r="410" spans="1:12" ht="15.75">
      <c r="A410" s="213"/>
      <c r="B410" s="214"/>
      <c r="C410" s="215" t="s">
        <v>202</v>
      </c>
      <c r="D410" s="220" t="s">
        <v>203</v>
      </c>
      <c r="E410" s="221">
        <v>2020</v>
      </c>
      <c r="F410" s="212"/>
      <c r="G410" s="212"/>
      <c r="H410" s="212"/>
      <c r="I410" s="212"/>
      <c r="J410" s="212"/>
      <c r="K410" s="212"/>
      <c r="L410" s="212"/>
    </row>
    <row r="411" spans="1:12" ht="15.75">
      <c r="A411" s="216" t="s">
        <v>204</v>
      </c>
      <c r="B411" s="217"/>
      <c r="C411" s="217">
        <v>80000</v>
      </c>
      <c r="D411" s="222" t="s">
        <v>205</v>
      </c>
      <c r="E411" s="222"/>
      <c r="F411" s="212"/>
      <c r="G411" s="212"/>
      <c r="H411" s="212"/>
      <c r="I411" s="212"/>
      <c r="J411" s="212"/>
      <c r="K411" s="212"/>
      <c r="L411" s="212"/>
    </row>
    <row r="412" spans="1:12" ht="15.75">
      <c r="A412" s="216"/>
      <c r="B412" s="216"/>
      <c r="C412" s="216"/>
      <c r="D412" s="222"/>
      <c r="E412" s="222"/>
      <c r="F412" s="212"/>
      <c r="G412" s="212"/>
      <c r="H412" s="212"/>
      <c r="I412" s="212"/>
      <c r="J412" s="212"/>
      <c r="K412" s="212"/>
      <c r="L412" s="212"/>
    </row>
    <row r="413" spans="1:12" ht="15.75">
      <c r="A413" s="216" t="s">
        <v>206</v>
      </c>
      <c r="B413" s="217"/>
      <c r="C413" s="217"/>
      <c r="D413" s="222"/>
      <c r="E413" s="222">
        <v>17</v>
      </c>
      <c r="F413" s="212"/>
      <c r="G413" s="212"/>
      <c r="H413" s="212"/>
      <c r="I413" s="212"/>
      <c r="J413" s="212"/>
      <c r="K413" s="212"/>
      <c r="L413" s="212"/>
    </row>
    <row r="414" spans="1:12" ht="15.75">
      <c r="A414" s="216"/>
      <c r="B414" s="217"/>
      <c r="C414" s="217"/>
      <c r="D414" s="222"/>
      <c r="E414" s="222"/>
      <c r="F414" s="212"/>
      <c r="G414" s="212"/>
      <c r="H414" s="212"/>
      <c r="I414" s="212"/>
      <c r="J414" s="212"/>
      <c r="K414" s="212"/>
      <c r="L414" s="212"/>
    </row>
    <row r="415" spans="1:12" ht="15.75">
      <c r="A415" s="216" t="s">
        <v>207</v>
      </c>
      <c r="B415" s="217"/>
      <c r="C415" s="217"/>
      <c r="D415" s="222"/>
      <c r="E415" s="222">
        <v>1695000</v>
      </c>
      <c r="F415" s="218"/>
      <c r="G415" s="212"/>
      <c r="H415" s="212"/>
      <c r="I415" s="212"/>
      <c r="J415" s="212"/>
      <c r="K415" s="212"/>
      <c r="L415" s="212"/>
    </row>
    <row r="416" spans="1:12" ht="15.75">
      <c r="A416" s="216"/>
      <c r="B416" s="216"/>
      <c r="C416" s="216"/>
      <c r="D416" s="216"/>
      <c r="E416" s="222"/>
      <c r="F416" s="212"/>
      <c r="G416" s="212"/>
      <c r="H416" s="212"/>
      <c r="I416" s="212"/>
      <c r="J416" s="212"/>
      <c r="K416" s="212"/>
      <c r="L416" s="212"/>
    </row>
    <row r="417" spans="1:12" ht="15.75">
      <c r="A417" s="216" t="s">
        <v>208</v>
      </c>
      <c r="B417" s="216"/>
      <c r="C417" s="216"/>
      <c r="D417" s="216"/>
      <c r="E417" s="222">
        <v>5000</v>
      </c>
      <c r="F417" s="212"/>
      <c r="G417" s="212"/>
      <c r="H417" s="212"/>
      <c r="I417" s="212"/>
      <c r="J417" s="212"/>
      <c r="K417" s="212"/>
      <c r="L417" s="212"/>
    </row>
    <row r="418" spans="1:12" ht="15.75">
      <c r="A418" s="216"/>
      <c r="B418" s="216"/>
      <c r="C418" s="216"/>
      <c r="D418" s="216"/>
      <c r="E418" s="222"/>
      <c r="F418" s="212"/>
      <c r="G418" s="212"/>
      <c r="H418" s="212"/>
      <c r="I418" s="212"/>
      <c r="J418" s="212"/>
      <c r="K418" s="212"/>
      <c r="L418" s="212"/>
    </row>
    <row r="419" spans="1:12" ht="15.75">
      <c r="A419" s="212"/>
      <c r="B419" s="212"/>
      <c r="C419" s="212"/>
      <c r="D419" s="212"/>
      <c r="E419" s="212"/>
      <c r="F419" s="212"/>
      <c r="G419" s="212"/>
      <c r="H419" s="212"/>
      <c r="I419" s="212"/>
      <c r="J419" s="212"/>
      <c r="K419" s="212"/>
      <c r="L419" s="212"/>
    </row>
    <row r="420" spans="1:12" ht="14.65" customHeight="1">
      <c r="A420" s="1002" t="s">
        <v>209</v>
      </c>
      <c r="B420" s="1002"/>
      <c r="C420" s="1002"/>
      <c r="D420" s="1002"/>
      <c r="E420" s="1002"/>
      <c r="F420" s="224"/>
      <c r="G420" s="224"/>
      <c r="H420" s="224"/>
      <c r="I420" s="224"/>
      <c r="J420" s="224"/>
      <c r="K420" s="224"/>
      <c r="L420" s="225"/>
    </row>
    <row r="421" spans="1:12" ht="14.65" customHeight="1">
      <c r="A421" s="1005"/>
      <c r="B421" s="1005"/>
      <c r="C421" s="1005"/>
      <c r="D421" s="1005"/>
      <c r="E421" s="1005"/>
      <c r="F421" s="226"/>
      <c r="G421" s="226"/>
      <c r="H421" s="226"/>
      <c r="I421" s="226"/>
      <c r="J421" s="226"/>
      <c r="K421" s="226"/>
      <c r="L421" s="227"/>
    </row>
    <row r="422" spans="1:12" ht="14.65" customHeight="1">
      <c r="A422" s="1005"/>
      <c r="B422" s="1005"/>
      <c r="C422" s="1005"/>
      <c r="D422" s="1005"/>
      <c r="E422" s="1005"/>
      <c r="F422" s="228"/>
      <c r="G422" s="228"/>
      <c r="H422" s="228"/>
      <c r="I422" s="228"/>
      <c r="J422" s="228"/>
      <c r="K422" s="228"/>
      <c r="L422" s="229"/>
    </row>
    <row r="423" spans="1:12">
      <c r="A423" s="1005"/>
      <c r="B423" s="1005"/>
      <c r="C423" s="1005"/>
      <c r="D423" s="1005"/>
      <c r="E423" s="1005"/>
    </row>
    <row r="425" spans="1:12" s="2" customFormat="1">
      <c r="A425" s="161">
        <v>11</v>
      </c>
    </row>
    <row r="427" spans="1:12" ht="15.75">
      <c r="A427" s="211" t="s">
        <v>210</v>
      </c>
      <c r="B427" s="219"/>
      <c r="C427" s="212"/>
      <c r="D427" s="212"/>
      <c r="E427" s="212"/>
      <c r="F427" s="212"/>
      <c r="G427" s="212"/>
      <c r="H427" s="212"/>
      <c r="I427" s="212"/>
      <c r="J427" s="212"/>
      <c r="K427" s="212"/>
      <c r="L427" s="212"/>
    </row>
    <row r="428" spans="1:12" ht="15.75">
      <c r="A428" s="231" t="s">
        <v>211</v>
      </c>
      <c r="B428" s="212"/>
      <c r="C428" s="232" t="s">
        <v>212</v>
      </c>
      <c r="D428" s="232" t="s">
        <v>213</v>
      </c>
      <c r="E428" s="232" t="s">
        <v>214</v>
      </c>
      <c r="F428" s="233" t="s">
        <v>215</v>
      </c>
      <c r="G428" s="234"/>
      <c r="H428" s="231" t="s">
        <v>216</v>
      </c>
      <c r="I428" s="235">
        <v>2015</v>
      </c>
      <c r="J428" s="235">
        <v>2016</v>
      </c>
      <c r="K428" s="235">
        <v>2017</v>
      </c>
      <c r="L428" s="212"/>
    </row>
    <row r="429" spans="1:12" ht="15.75">
      <c r="A429" s="212" t="s">
        <v>217</v>
      </c>
      <c r="B429" s="212"/>
      <c r="C429" s="236">
        <v>125000</v>
      </c>
      <c r="D429" s="236">
        <v>150000</v>
      </c>
      <c r="E429" s="236">
        <v>180000</v>
      </c>
      <c r="F429" s="236">
        <v>216000</v>
      </c>
      <c r="G429" s="237"/>
      <c r="H429" s="237" t="s">
        <v>218</v>
      </c>
      <c r="I429" s="212">
        <v>30</v>
      </c>
      <c r="J429" s="212">
        <v>55</v>
      </c>
      <c r="K429" s="212">
        <v>60</v>
      </c>
      <c r="L429" s="212"/>
    </row>
    <row r="430" spans="1:12" ht="15.75">
      <c r="A430" s="212" t="s">
        <v>16</v>
      </c>
      <c r="B430" s="212"/>
      <c r="C430" s="236">
        <v>10000</v>
      </c>
      <c r="D430" s="236">
        <v>10500</v>
      </c>
      <c r="E430" s="236">
        <v>11025</v>
      </c>
      <c r="F430" s="236">
        <v>11576</v>
      </c>
      <c r="G430" s="237"/>
      <c r="H430" s="237" t="s">
        <v>219</v>
      </c>
      <c r="I430" s="212">
        <v>26</v>
      </c>
      <c r="J430" s="212">
        <v>20</v>
      </c>
      <c r="K430" s="212">
        <v>15</v>
      </c>
      <c r="L430" s="212"/>
    </row>
    <row r="431" spans="1:12" ht="15.75">
      <c r="A431" s="212" t="s">
        <v>220</v>
      </c>
      <c r="B431" s="212"/>
      <c r="C431" s="236">
        <v>30000</v>
      </c>
      <c r="D431" s="236">
        <v>25100</v>
      </c>
      <c r="E431" s="236">
        <v>23332</v>
      </c>
      <c r="F431" s="236">
        <v>22332</v>
      </c>
      <c r="G431" s="237"/>
      <c r="H431" s="237" t="s">
        <v>221</v>
      </c>
      <c r="I431" s="212">
        <v>50</v>
      </c>
      <c r="J431" s="212">
        <v>45</v>
      </c>
      <c r="K431" s="212">
        <v>44</v>
      </c>
      <c r="L431" s="212"/>
    </row>
    <row r="432" spans="1:12" ht="15.75">
      <c r="A432" s="212"/>
      <c r="B432" s="212"/>
      <c r="C432" s="138"/>
      <c r="D432" s="138"/>
      <c r="E432" s="138"/>
      <c r="F432" s="138"/>
      <c r="G432" s="212"/>
      <c r="H432" s="212"/>
      <c r="I432" s="212"/>
      <c r="J432" s="212"/>
      <c r="K432" s="212"/>
      <c r="L432" s="212"/>
    </row>
    <row r="433" spans="1:12" ht="14.65" customHeight="1">
      <c r="A433" s="1002" t="s">
        <v>222</v>
      </c>
      <c r="B433" s="1002"/>
      <c r="C433" s="1002"/>
      <c r="D433" s="1002"/>
      <c r="E433" s="1002"/>
      <c r="F433" s="1002"/>
      <c r="G433" s="1002"/>
      <c r="H433" s="1002"/>
      <c r="I433" s="1002"/>
      <c r="J433" s="1002"/>
      <c r="K433" s="1002"/>
      <c r="L433" s="1002"/>
    </row>
    <row r="434" spans="1:12" ht="14.65" customHeight="1">
      <c r="A434" s="1005"/>
      <c r="B434" s="1005"/>
      <c r="C434" s="1005"/>
      <c r="D434" s="1005"/>
      <c r="E434" s="1005"/>
      <c r="F434" s="1005"/>
      <c r="G434" s="1005"/>
      <c r="H434" s="1005"/>
      <c r="I434" s="1005"/>
      <c r="J434" s="1005"/>
      <c r="K434" s="1005"/>
      <c r="L434" s="1005"/>
    </row>
    <row r="435" spans="1:12" ht="14.65" customHeight="1">
      <c r="A435" s="1005"/>
      <c r="B435" s="1005"/>
      <c r="C435" s="1005"/>
      <c r="D435" s="1005"/>
      <c r="E435" s="1005"/>
      <c r="F435" s="1005"/>
      <c r="G435" s="1005"/>
      <c r="H435" s="1005"/>
      <c r="I435" s="1005"/>
      <c r="J435" s="1005"/>
      <c r="K435" s="1005"/>
      <c r="L435" s="1005"/>
    </row>
    <row r="436" spans="1:12" ht="14.65" customHeight="1">
      <c r="A436" s="1005"/>
      <c r="B436" s="1005"/>
      <c r="C436" s="1005"/>
      <c r="D436" s="1005"/>
      <c r="E436" s="1005"/>
      <c r="F436" s="1005"/>
      <c r="G436" s="1005"/>
      <c r="H436" s="1005"/>
      <c r="I436" s="1005"/>
      <c r="J436" s="1005"/>
      <c r="K436" s="1005"/>
      <c r="L436" s="1005"/>
    </row>
    <row r="437" spans="1:12" ht="14.65" customHeight="1">
      <c r="A437" s="1005"/>
      <c r="B437" s="1005"/>
      <c r="C437" s="1005"/>
      <c r="D437" s="1005"/>
      <c r="E437" s="1005"/>
      <c r="F437" s="1005"/>
      <c r="G437" s="1005"/>
      <c r="H437" s="1005"/>
      <c r="I437" s="1005"/>
      <c r="J437" s="1005"/>
      <c r="K437" s="1005"/>
      <c r="L437" s="1005"/>
    </row>
    <row r="438" spans="1:12">
      <c r="A438" s="1005"/>
      <c r="B438" s="1005"/>
      <c r="C438" s="1005"/>
      <c r="D438" s="1005"/>
      <c r="E438" s="1005"/>
      <c r="F438" s="1005"/>
      <c r="G438" s="1005"/>
      <c r="H438" s="1005"/>
      <c r="I438" s="1005"/>
      <c r="J438" s="1005"/>
      <c r="K438" s="1005"/>
      <c r="L438" s="1005"/>
    </row>
    <row r="439" spans="1:12">
      <c r="A439" s="1005"/>
      <c r="B439" s="1005"/>
      <c r="C439" s="1005"/>
      <c r="D439" s="1005"/>
      <c r="E439" s="1005"/>
      <c r="F439" s="1005"/>
      <c r="G439" s="1005"/>
      <c r="H439" s="1005"/>
      <c r="I439" s="1005"/>
      <c r="J439" s="1005"/>
      <c r="K439" s="1005"/>
      <c r="L439" s="1005"/>
    </row>
    <row r="440" spans="1:12">
      <c r="A440" s="1005"/>
      <c r="B440" s="1005"/>
      <c r="C440" s="1005"/>
      <c r="D440" s="1005"/>
      <c r="E440" s="1005"/>
      <c r="F440" s="1005"/>
      <c r="G440" s="1005"/>
      <c r="H440" s="1005"/>
      <c r="I440" s="1005"/>
      <c r="J440" s="1005"/>
      <c r="K440" s="1005"/>
      <c r="L440" s="1005"/>
    </row>
    <row r="441" spans="1:12">
      <c r="A441" s="1005"/>
      <c r="B441" s="1005"/>
      <c r="C441" s="1005"/>
      <c r="D441" s="1005"/>
      <c r="E441" s="1005"/>
      <c r="F441" s="1005"/>
      <c r="G441" s="1005"/>
      <c r="H441" s="1005"/>
      <c r="I441" s="1005"/>
      <c r="J441" s="1005"/>
      <c r="K441" s="1005"/>
      <c r="L441" s="1005"/>
    </row>
    <row r="443" spans="1:12" s="2" customFormat="1">
      <c r="A443" s="161">
        <v>12</v>
      </c>
    </row>
    <row r="445" spans="1:12" ht="15.75">
      <c r="A445" s="269" t="s">
        <v>223</v>
      </c>
      <c r="B445" s="260"/>
      <c r="C445" s="260"/>
      <c r="D445" s="260"/>
      <c r="E445" s="260"/>
      <c r="F445" s="260"/>
      <c r="G445" s="260"/>
      <c r="H445" s="260"/>
      <c r="I445" s="260"/>
      <c r="J445" s="260"/>
      <c r="K445" s="260"/>
      <c r="L445" s="261"/>
    </row>
    <row r="446" spans="1:12" ht="15.75" customHeight="1">
      <c r="A446" s="966" t="s">
        <v>224</v>
      </c>
      <c r="B446" s="967"/>
      <c r="C446" s="967"/>
      <c r="D446" s="967"/>
      <c r="E446" s="967"/>
      <c r="F446" s="967"/>
      <c r="G446" s="967"/>
      <c r="H446" s="967"/>
      <c r="I446" s="967"/>
      <c r="J446" s="967"/>
      <c r="K446" s="967"/>
      <c r="L446" s="968"/>
    </row>
    <row r="447" spans="1:12" ht="15.75" customHeight="1">
      <c r="A447" s="966"/>
      <c r="B447" s="967"/>
      <c r="C447" s="967"/>
      <c r="D447" s="967"/>
      <c r="E447" s="967"/>
      <c r="F447" s="967"/>
      <c r="G447" s="967"/>
      <c r="H447" s="967"/>
      <c r="I447" s="967"/>
      <c r="J447" s="967"/>
      <c r="K447" s="967"/>
      <c r="L447" s="968"/>
    </row>
    <row r="448" spans="1:12" ht="15.75">
      <c r="A448" s="966" t="s">
        <v>225</v>
      </c>
      <c r="B448" s="967"/>
      <c r="C448" s="967"/>
      <c r="D448" s="967"/>
      <c r="E448" s="967"/>
      <c r="F448" s="967"/>
      <c r="G448" s="967"/>
      <c r="H448" s="967"/>
      <c r="I448" s="967"/>
      <c r="J448" s="967"/>
      <c r="K448" s="967"/>
      <c r="L448" s="968"/>
    </row>
    <row r="449" spans="1:12" ht="15.75">
      <c r="A449" s="966" t="s">
        <v>226</v>
      </c>
      <c r="B449" s="967"/>
      <c r="C449" s="967"/>
      <c r="D449" s="967"/>
      <c r="E449" s="967"/>
      <c r="F449" s="967"/>
      <c r="G449" s="967"/>
      <c r="H449" s="967"/>
      <c r="I449" s="967"/>
      <c r="J449" s="967"/>
      <c r="K449" s="967"/>
      <c r="L449" s="268"/>
    </row>
    <row r="450" spans="1:12" ht="15.75">
      <c r="A450" s="969"/>
      <c r="B450" s="970"/>
      <c r="C450" s="970"/>
      <c r="D450" s="970"/>
      <c r="E450" s="970"/>
      <c r="F450" s="970"/>
      <c r="G450" s="970"/>
      <c r="H450" s="970"/>
      <c r="I450" s="970"/>
      <c r="J450" s="267"/>
      <c r="K450" s="267"/>
      <c r="L450" s="263"/>
    </row>
    <row r="452" spans="1:12" ht="16.149999999999999" thickBot="1">
      <c r="A452" s="273" t="s">
        <v>227</v>
      </c>
      <c r="B452" s="5"/>
      <c r="C452" s="5"/>
      <c r="D452" s="5"/>
      <c r="E452" s="5"/>
      <c r="F452" s="5"/>
      <c r="G452" s="5"/>
      <c r="H452" s="5"/>
      <c r="I452" s="5"/>
    </row>
    <row r="453" spans="1:12" ht="16.149999999999999" thickBot="1">
      <c r="A453" s="4" t="s">
        <v>0</v>
      </c>
      <c r="B453" s="4"/>
      <c r="C453" s="4"/>
      <c r="D453" s="4"/>
      <c r="E453" s="4"/>
      <c r="F453" s="256" t="s">
        <v>53</v>
      </c>
      <c r="G453" s="243"/>
      <c r="H453" s="243"/>
      <c r="I453" s="244"/>
    </row>
    <row r="454" spans="1:12" ht="15.75">
      <c r="A454" s="256"/>
      <c r="B454" s="271" t="s">
        <v>3</v>
      </c>
      <c r="C454" s="271" t="s">
        <v>4</v>
      </c>
      <c r="D454" s="262" t="s">
        <v>54</v>
      </c>
      <c r="E454" s="4"/>
      <c r="F454" s="245"/>
      <c r="G454" s="246" t="s">
        <v>3</v>
      </c>
      <c r="H454" s="246" t="s">
        <v>4</v>
      </c>
      <c r="I454" s="247" t="s">
        <v>54</v>
      </c>
    </row>
    <row r="455" spans="1:12" ht="15.75">
      <c r="A455" s="245" t="s">
        <v>55</v>
      </c>
      <c r="B455" s="248">
        <v>10000000</v>
      </c>
      <c r="C455" s="248">
        <v>1000000</v>
      </c>
      <c r="D455" s="249">
        <v>9000000</v>
      </c>
      <c r="E455" s="4"/>
      <c r="F455" s="245" t="s">
        <v>55</v>
      </c>
      <c r="G455" s="248">
        <v>11000000</v>
      </c>
      <c r="H455" s="248">
        <v>1100000</v>
      </c>
      <c r="I455" s="249">
        <v>9900000</v>
      </c>
    </row>
    <row r="456" spans="1:12" ht="15.75">
      <c r="A456" s="245" t="s">
        <v>56</v>
      </c>
      <c r="B456" s="248">
        <v>4000000</v>
      </c>
      <c r="C456" s="248">
        <v>2500000</v>
      </c>
      <c r="D456" s="249">
        <v>1500000</v>
      </c>
      <c r="E456" s="4"/>
      <c r="F456" s="245" t="s">
        <v>56</v>
      </c>
      <c r="G456" s="248">
        <v>4500000</v>
      </c>
      <c r="H456" s="248">
        <v>2750000</v>
      </c>
      <c r="I456" s="249">
        <v>1750000</v>
      </c>
    </row>
    <row r="457" spans="1:12" ht="15.75">
      <c r="A457" s="245" t="s">
        <v>57</v>
      </c>
      <c r="B457" s="248">
        <v>1000000</v>
      </c>
      <c r="C457" s="248">
        <v>700000</v>
      </c>
      <c r="D457" s="249">
        <v>300000</v>
      </c>
      <c r="E457" s="4"/>
      <c r="F457" s="245" t="s">
        <v>57</v>
      </c>
      <c r="G457" s="248">
        <v>1100000</v>
      </c>
      <c r="H457" s="248">
        <v>750000</v>
      </c>
      <c r="I457" s="249">
        <v>350000</v>
      </c>
    </row>
    <row r="458" spans="1:12" ht="15.75">
      <c r="A458" s="245" t="s">
        <v>58</v>
      </c>
      <c r="B458" s="250">
        <v>15000000</v>
      </c>
      <c r="C458" s="272">
        <v>4200000</v>
      </c>
      <c r="D458" s="251">
        <v>10800000</v>
      </c>
      <c r="E458" s="4"/>
      <c r="F458" s="245" t="s">
        <v>58</v>
      </c>
      <c r="G458" s="250">
        <v>16600000</v>
      </c>
      <c r="H458" s="272">
        <v>4600000</v>
      </c>
      <c r="I458" s="251">
        <v>12000000</v>
      </c>
    </row>
    <row r="459" spans="1:12" ht="15.75">
      <c r="A459" s="245"/>
      <c r="B459" s="4"/>
      <c r="C459" s="4"/>
      <c r="D459" s="252"/>
      <c r="E459" s="4"/>
      <c r="F459" s="245"/>
      <c r="G459" s="4"/>
      <c r="H459" s="4"/>
      <c r="I459" s="252"/>
    </row>
    <row r="460" spans="1:12" ht="15.75">
      <c r="A460" s="245"/>
      <c r="B460" s="4"/>
      <c r="C460" s="4"/>
      <c r="D460" s="252"/>
      <c r="E460" s="4"/>
      <c r="F460" s="245"/>
      <c r="G460" s="4"/>
      <c r="H460" s="4"/>
      <c r="I460" s="252"/>
    </row>
    <row r="461" spans="1:12" ht="15.75">
      <c r="A461" s="245"/>
      <c r="B461" s="4" t="s">
        <v>22</v>
      </c>
      <c r="C461" s="4"/>
      <c r="D461" s="249">
        <v>500000</v>
      </c>
      <c r="E461" s="4"/>
      <c r="F461" s="245"/>
      <c r="G461" s="4" t="s">
        <v>22</v>
      </c>
      <c r="H461" s="4"/>
      <c r="I461" s="249">
        <v>500000</v>
      </c>
    </row>
    <row r="462" spans="1:12" ht="15.75">
      <c r="A462" s="245"/>
      <c r="B462" s="4" t="s">
        <v>24</v>
      </c>
      <c r="C462" s="4"/>
      <c r="D462" s="249">
        <v>1500000</v>
      </c>
      <c r="E462" s="4"/>
      <c r="F462" s="245"/>
      <c r="G462" s="4" t="s">
        <v>24</v>
      </c>
      <c r="H462" s="4"/>
      <c r="I462" s="249">
        <v>1500000</v>
      </c>
    </row>
    <row r="463" spans="1:12" ht="15.75">
      <c r="A463" s="245"/>
      <c r="B463" s="4" t="s">
        <v>25</v>
      </c>
      <c r="C463" s="4"/>
      <c r="D463" s="249">
        <v>1000000</v>
      </c>
      <c r="E463" s="4"/>
      <c r="F463" s="245"/>
      <c r="G463" s="4" t="s">
        <v>25</v>
      </c>
      <c r="H463" s="4"/>
      <c r="I463" s="249">
        <v>1000000</v>
      </c>
    </row>
    <row r="464" spans="1:12" ht="15.75">
      <c r="A464" s="245"/>
      <c r="B464" s="4" t="s">
        <v>59</v>
      </c>
      <c r="C464" s="4"/>
      <c r="D464" s="249">
        <v>500000</v>
      </c>
      <c r="E464" s="4"/>
      <c r="F464" s="245"/>
      <c r="G464" s="4" t="s">
        <v>59</v>
      </c>
      <c r="H464" s="4"/>
      <c r="I464" s="249">
        <v>500000</v>
      </c>
    </row>
    <row r="465" spans="1:9" ht="15.75">
      <c r="A465" s="245"/>
      <c r="B465" s="4"/>
      <c r="C465" s="4"/>
      <c r="D465" s="249"/>
      <c r="E465" s="4"/>
      <c r="F465" s="245"/>
      <c r="G465" s="4"/>
      <c r="H465" s="4"/>
      <c r="I465" s="249"/>
    </row>
    <row r="466" spans="1:9" ht="15.75">
      <c r="A466" s="245"/>
      <c r="B466" s="4" t="s">
        <v>60</v>
      </c>
      <c r="C466" s="4"/>
      <c r="D466" s="251">
        <v>7300000</v>
      </c>
      <c r="E466" s="4"/>
      <c r="F466" s="245"/>
      <c r="G466" s="4" t="s">
        <v>60</v>
      </c>
      <c r="H466" s="4"/>
      <c r="I466" s="251">
        <v>8500000</v>
      </c>
    </row>
    <row r="467" spans="1:9" ht="15.75">
      <c r="A467" s="245"/>
      <c r="B467" s="4" t="s">
        <v>61</v>
      </c>
      <c r="C467" s="4"/>
      <c r="D467" s="249">
        <v>1000000</v>
      </c>
      <c r="E467" s="4"/>
      <c r="F467" s="245"/>
      <c r="G467" s="4" t="s">
        <v>61</v>
      </c>
      <c r="H467" s="4"/>
      <c r="I467" s="249">
        <v>1000000</v>
      </c>
    </row>
    <row r="468" spans="1:9" ht="15.75">
      <c r="A468" s="245"/>
      <c r="B468" s="4" t="s">
        <v>62</v>
      </c>
      <c r="C468" s="4"/>
      <c r="D468" s="249">
        <v>100000</v>
      </c>
      <c r="E468" s="4"/>
      <c r="F468" s="245"/>
      <c r="G468" s="4" t="s">
        <v>62</v>
      </c>
      <c r="H468" s="4"/>
      <c r="I468" s="249">
        <v>100000</v>
      </c>
    </row>
    <row r="469" spans="1:9" ht="15.75">
      <c r="A469" s="245"/>
      <c r="B469" s="4" t="s">
        <v>63</v>
      </c>
      <c r="C469" s="4"/>
      <c r="D469" s="249">
        <v>800000</v>
      </c>
      <c r="E469" s="4"/>
      <c r="F469" s="245"/>
      <c r="G469" s="4" t="s">
        <v>63</v>
      </c>
      <c r="H469" s="4"/>
      <c r="I469" s="249">
        <v>800000</v>
      </c>
    </row>
    <row r="470" spans="1:9" ht="15.75">
      <c r="A470" s="245"/>
      <c r="B470" s="4"/>
      <c r="C470" s="4"/>
      <c r="D470" s="252"/>
      <c r="E470" s="4"/>
      <c r="F470" s="245"/>
      <c r="G470" s="4" t="s">
        <v>64</v>
      </c>
      <c r="H470" s="4"/>
      <c r="I470" s="249">
        <v>400000</v>
      </c>
    </row>
    <row r="471" spans="1:9" ht="15.75">
      <c r="A471" s="245"/>
      <c r="B471" s="4" t="s">
        <v>65</v>
      </c>
      <c r="C471" s="4"/>
      <c r="D471" s="251">
        <v>5400000</v>
      </c>
      <c r="E471" s="4"/>
      <c r="F471" s="245"/>
      <c r="G471" s="4" t="s">
        <v>65</v>
      </c>
      <c r="H471" s="4"/>
      <c r="I471" s="251">
        <v>7000000</v>
      </c>
    </row>
    <row r="472" spans="1:9" ht="15.75">
      <c r="A472" s="245"/>
      <c r="B472" s="4" t="s">
        <v>40</v>
      </c>
      <c r="C472" s="4"/>
      <c r="D472" s="249">
        <v>4050000</v>
      </c>
      <c r="E472" s="4"/>
      <c r="F472" s="245"/>
      <c r="G472" s="4" t="s">
        <v>40</v>
      </c>
      <c r="H472" s="4"/>
      <c r="I472" s="249">
        <v>5250000</v>
      </c>
    </row>
    <row r="473" spans="1:9" ht="16.149999999999999" thickBot="1">
      <c r="A473" s="253"/>
      <c r="B473" s="254" t="s">
        <v>43</v>
      </c>
      <c r="C473" s="254"/>
      <c r="D473" s="242">
        <v>1350000</v>
      </c>
      <c r="E473" s="4"/>
      <c r="F473" s="253"/>
      <c r="G473" s="254" t="s">
        <v>43</v>
      </c>
      <c r="H473" s="254"/>
      <c r="I473" s="242">
        <v>1750000</v>
      </c>
    </row>
    <row r="474" spans="1:9" ht="15.75">
      <c r="A474" s="4"/>
      <c r="B474" s="4"/>
      <c r="C474" s="4"/>
      <c r="D474" s="4"/>
      <c r="E474" s="4"/>
      <c r="F474" s="4"/>
      <c r="G474" s="4"/>
      <c r="H474" s="4"/>
      <c r="I474" s="4"/>
    </row>
    <row r="476" spans="1:9" ht="16.149999999999999" thickBot="1">
      <c r="A476" s="255" t="s">
        <v>228</v>
      </c>
      <c r="B476" s="5"/>
      <c r="C476" s="5"/>
      <c r="D476" s="5"/>
      <c r="E476" s="5"/>
      <c r="F476" s="5"/>
      <c r="G476" s="5"/>
      <c r="H476" s="5"/>
      <c r="I476" s="5"/>
    </row>
    <row r="477" spans="1:9" ht="15.75">
      <c r="A477" s="256"/>
      <c r="B477" s="257">
        <v>2021</v>
      </c>
      <c r="C477" s="257">
        <v>2022</v>
      </c>
      <c r="D477" s="257"/>
      <c r="E477" s="257">
        <v>2021</v>
      </c>
      <c r="F477" s="258">
        <v>2022</v>
      </c>
      <c r="G477" s="5"/>
      <c r="H477" s="5"/>
      <c r="I477" s="5"/>
    </row>
    <row r="478" spans="1:9" ht="15.75">
      <c r="A478" s="259" t="s">
        <v>1</v>
      </c>
      <c r="B478" s="4"/>
      <c r="C478" s="4"/>
      <c r="D478" s="3" t="s">
        <v>2</v>
      </c>
      <c r="E478" s="4"/>
      <c r="F478" s="252"/>
      <c r="G478" s="5"/>
      <c r="H478" s="5"/>
      <c r="I478" s="5"/>
    </row>
    <row r="479" spans="1:9" ht="15.75">
      <c r="A479" s="245" t="s">
        <v>6</v>
      </c>
      <c r="B479" s="4"/>
      <c r="C479" s="248"/>
      <c r="D479" s="248"/>
      <c r="E479" s="248"/>
      <c r="F479" s="249"/>
      <c r="G479" s="5"/>
      <c r="H479" s="5"/>
      <c r="I479" s="5"/>
    </row>
    <row r="480" spans="1:9" ht="15.75">
      <c r="A480" s="245" t="s">
        <v>8</v>
      </c>
      <c r="B480" s="248">
        <v>1000000</v>
      </c>
      <c r="C480" s="248">
        <v>4980000</v>
      </c>
      <c r="D480" s="248" t="s">
        <v>9</v>
      </c>
      <c r="E480" s="248">
        <v>800000</v>
      </c>
      <c r="F480" s="249">
        <v>900000</v>
      </c>
      <c r="G480" s="5"/>
      <c r="H480" s="5"/>
      <c r="I480" s="5"/>
    </row>
    <row r="481" spans="1:9" ht="15.75">
      <c r="A481" s="245" t="s">
        <v>11</v>
      </c>
      <c r="B481" s="248">
        <v>4000000</v>
      </c>
      <c r="C481" s="248">
        <v>4300000</v>
      </c>
      <c r="D481" s="248" t="s">
        <v>12</v>
      </c>
      <c r="E481" s="248">
        <v>600000</v>
      </c>
      <c r="F481" s="249">
        <v>550000</v>
      </c>
      <c r="G481" s="5"/>
      <c r="H481" s="5"/>
      <c r="I481" s="5"/>
    </row>
    <row r="482" spans="1:9" ht="15.75">
      <c r="A482" s="245" t="s">
        <v>14</v>
      </c>
      <c r="B482" s="248">
        <v>150000</v>
      </c>
      <c r="C482" s="248">
        <v>150000</v>
      </c>
      <c r="D482" s="248" t="s">
        <v>49</v>
      </c>
      <c r="E482" s="248">
        <v>1000000</v>
      </c>
      <c r="F482" s="249">
        <v>1100000</v>
      </c>
      <c r="G482" s="5"/>
      <c r="H482" s="5"/>
      <c r="I482" s="5"/>
    </row>
    <row r="483" spans="1:9" ht="15.75">
      <c r="A483" s="245" t="s">
        <v>16</v>
      </c>
      <c r="B483" s="248">
        <v>3000000</v>
      </c>
      <c r="C483" s="248">
        <v>3250000</v>
      </c>
      <c r="D483" s="248" t="s">
        <v>17</v>
      </c>
      <c r="E483" s="248">
        <v>600000</v>
      </c>
      <c r="F483" s="249">
        <v>1100000</v>
      </c>
      <c r="G483" s="5"/>
      <c r="H483" s="5"/>
      <c r="I483" s="5"/>
    </row>
    <row r="484" spans="1:9" ht="15.75">
      <c r="A484" s="245" t="s">
        <v>50</v>
      </c>
      <c r="B484" s="248">
        <v>400000</v>
      </c>
      <c r="C484" s="248">
        <v>420000</v>
      </c>
      <c r="D484" s="248" t="s">
        <v>19</v>
      </c>
      <c r="E484" s="248">
        <v>200000</v>
      </c>
      <c r="F484" s="249">
        <v>250000</v>
      </c>
    </row>
    <row r="485" spans="1:9" ht="15.75">
      <c r="A485" s="245" t="s">
        <v>51</v>
      </c>
      <c r="B485" s="248">
        <v>100000</v>
      </c>
      <c r="C485" s="248">
        <v>100000</v>
      </c>
      <c r="D485" s="272" t="s">
        <v>21</v>
      </c>
      <c r="E485" s="272">
        <v>3200000</v>
      </c>
      <c r="F485" s="251">
        <v>3900000</v>
      </c>
    </row>
    <row r="486" spans="1:9" ht="15.75">
      <c r="A486" s="266" t="s">
        <v>23</v>
      </c>
      <c r="B486" s="272">
        <v>8650000</v>
      </c>
      <c r="C486" s="272">
        <v>9220000</v>
      </c>
      <c r="D486" s="248"/>
      <c r="E486" s="248"/>
      <c r="F486" s="249"/>
    </row>
    <row r="487" spans="1:9" ht="15.75">
      <c r="A487" s="245"/>
      <c r="B487" s="248"/>
      <c r="C487" s="248"/>
      <c r="D487" s="4"/>
      <c r="E487" s="4"/>
      <c r="F487" s="252"/>
    </row>
    <row r="488" spans="1:9" ht="15.75">
      <c r="A488" s="245"/>
      <c r="B488" s="248"/>
      <c r="C488" s="248"/>
      <c r="D488" s="4"/>
      <c r="E488" s="4"/>
      <c r="F488" s="252"/>
    </row>
    <row r="489" spans="1:9" ht="15.75">
      <c r="A489" s="245" t="s">
        <v>28</v>
      </c>
      <c r="B489" s="248">
        <v>2000000</v>
      </c>
      <c r="C489" s="248">
        <v>2000000</v>
      </c>
      <c r="D489" s="248"/>
      <c r="E489" s="248"/>
      <c r="F489" s="249"/>
    </row>
    <row r="490" spans="1:9" ht="15.75">
      <c r="A490" s="245" t="s">
        <v>30</v>
      </c>
      <c r="B490" s="248">
        <v>20000000</v>
      </c>
      <c r="C490" s="248">
        <v>17500000</v>
      </c>
      <c r="D490" s="248" t="s">
        <v>26</v>
      </c>
      <c r="E490" s="250">
        <v>8000000</v>
      </c>
      <c r="F490" s="270">
        <v>7900000</v>
      </c>
    </row>
    <row r="491" spans="1:9" ht="15.75">
      <c r="A491" s="245" t="s">
        <v>31</v>
      </c>
      <c r="B491" s="248">
        <v>-8000000</v>
      </c>
      <c r="C491" s="248">
        <v>-8700000</v>
      </c>
      <c r="D491" s="248"/>
      <c r="E491" s="248"/>
      <c r="F491" s="249"/>
    </row>
    <row r="492" spans="1:9" ht="15.75">
      <c r="A492" s="245" t="s">
        <v>33</v>
      </c>
      <c r="B492" s="248">
        <v>2000000</v>
      </c>
      <c r="C492" s="248">
        <v>2000000</v>
      </c>
      <c r="D492" s="248" t="s">
        <v>34</v>
      </c>
      <c r="E492" s="248">
        <v>100000</v>
      </c>
      <c r="F492" s="249">
        <v>100000</v>
      </c>
    </row>
    <row r="493" spans="1:9" ht="15.75">
      <c r="A493" s="245" t="s">
        <v>36</v>
      </c>
      <c r="B493" s="248">
        <v>-800000</v>
      </c>
      <c r="C493" s="248">
        <v>-900000</v>
      </c>
      <c r="D493" s="248" t="s">
        <v>37</v>
      </c>
      <c r="E493" s="248">
        <v>6000000</v>
      </c>
      <c r="F493" s="249">
        <v>6000000</v>
      </c>
    </row>
    <row r="494" spans="1:9" ht="15.75">
      <c r="A494" s="245"/>
      <c r="B494" s="248"/>
      <c r="C494" s="248"/>
      <c r="D494" s="248" t="s">
        <v>39</v>
      </c>
      <c r="E494" s="248">
        <v>6550000</v>
      </c>
      <c r="F494" s="249">
        <v>7200000</v>
      </c>
    </row>
    <row r="495" spans="1:9" ht="15.75">
      <c r="A495" s="266" t="s">
        <v>41</v>
      </c>
      <c r="B495" s="272">
        <v>15200000</v>
      </c>
      <c r="C495" s="272">
        <v>11900000</v>
      </c>
      <c r="D495" s="272" t="s">
        <v>42</v>
      </c>
      <c r="E495" s="272">
        <v>12650000</v>
      </c>
      <c r="F495" s="251">
        <v>13300000</v>
      </c>
    </row>
    <row r="496" spans="1:9" ht="15.75">
      <c r="A496" s="245"/>
      <c r="B496" s="4"/>
      <c r="C496" s="248"/>
      <c r="D496" s="248"/>
      <c r="E496" s="248"/>
      <c r="F496" s="249"/>
    </row>
    <row r="497" spans="1:12" ht="16.149999999999999" thickBot="1">
      <c r="A497" s="240" t="s">
        <v>52</v>
      </c>
      <c r="B497" s="241">
        <v>23850000</v>
      </c>
      <c r="C497" s="241">
        <v>25100000</v>
      </c>
      <c r="D497" s="241" t="s">
        <v>44</v>
      </c>
      <c r="E497" s="241">
        <v>23850000</v>
      </c>
      <c r="F497" s="274">
        <v>25100000</v>
      </c>
    </row>
    <row r="499" spans="1:12" s="2" customFormat="1">
      <c r="A499" s="164">
        <v>13</v>
      </c>
    </row>
    <row r="501" spans="1:12" s="10" customFormat="1" ht="19.350000000000001" customHeight="1">
      <c r="A501" s="285" t="s">
        <v>304</v>
      </c>
      <c r="B501" s="286"/>
      <c r="C501" s="284"/>
      <c r="D501" s="284"/>
      <c r="E501" s="284"/>
      <c r="F501" s="284"/>
      <c r="G501" s="284"/>
      <c r="H501" s="284"/>
      <c r="I501" s="284"/>
      <c r="J501" s="284"/>
      <c r="K501" s="284"/>
      <c r="L501" s="284"/>
    </row>
    <row r="502" spans="1:12" s="10" customFormat="1" ht="19.350000000000001" customHeight="1">
      <c r="A502" s="285" t="s">
        <v>145</v>
      </c>
      <c r="B502" s="285"/>
      <c r="C502" s="287"/>
      <c r="D502" s="287"/>
      <c r="E502" s="287"/>
      <c r="F502" s="287"/>
      <c r="G502" s="287"/>
      <c r="H502" s="284"/>
      <c r="I502" s="284"/>
      <c r="J502" s="284"/>
      <c r="K502" s="284"/>
      <c r="L502" s="284"/>
    </row>
    <row r="503" spans="1:12" s="10" customFormat="1" ht="19.350000000000001" customHeight="1">
      <c r="A503" s="992" t="s">
        <v>305</v>
      </c>
      <c r="B503" s="992"/>
      <c r="C503" s="992"/>
      <c r="D503" s="992"/>
      <c r="E503" s="992"/>
      <c r="F503" s="992"/>
      <c r="G503" s="992"/>
      <c r="H503" s="191"/>
      <c r="I503" s="191"/>
      <c r="J503" s="191"/>
      <c r="K503" s="191"/>
      <c r="L503" s="284"/>
    </row>
    <row r="504" spans="1:12" s="10" customFormat="1" ht="19.350000000000001" customHeight="1">
      <c r="A504" s="992"/>
      <c r="B504" s="992"/>
      <c r="C504" s="992"/>
      <c r="D504" s="992"/>
      <c r="E504" s="992"/>
      <c r="F504" s="992"/>
      <c r="G504" s="992"/>
      <c r="H504" s="191"/>
      <c r="I504" s="191"/>
      <c r="J504" s="191"/>
      <c r="K504" s="191"/>
      <c r="L504" s="284"/>
    </row>
    <row r="505" spans="1:12" s="10" customFormat="1" ht="19.350000000000001" customHeight="1" thickBot="1">
      <c r="A505" s="288" t="s">
        <v>306</v>
      </c>
      <c r="B505" s="288"/>
      <c r="C505" s="288"/>
      <c r="D505" s="165"/>
      <c r="E505" s="165"/>
      <c r="F505" s="165"/>
      <c r="G505" s="165"/>
      <c r="H505" s="191"/>
      <c r="I505" s="191"/>
      <c r="J505" s="191"/>
      <c r="K505" s="191"/>
      <c r="L505" s="284"/>
    </row>
    <row r="506" spans="1:12" s="10" customFormat="1" ht="19.350000000000001" customHeight="1" thickBot="1">
      <c r="A506" s="289"/>
      <c r="B506" s="290">
        <v>2021</v>
      </c>
      <c r="C506" s="291">
        <v>2022</v>
      </c>
      <c r="D506" s="165"/>
      <c r="E506" s="292"/>
      <c r="F506" s="293">
        <v>2021</v>
      </c>
      <c r="G506" s="294">
        <v>2022</v>
      </c>
      <c r="H506" s="191"/>
      <c r="I506" s="191"/>
      <c r="J506" s="191"/>
      <c r="K506" s="191"/>
      <c r="L506" s="284"/>
    </row>
    <row r="507" spans="1:12" s="10" customFormat="1" ht="19.350000000000001" customHeight="1">
      <c r="A507" s="288" t="s">
        <v>6</v>
      </c>
      <c r="B507" s="295"/>
      <c r="C507" s="295"/>
      <c r="D507" s="165"/>
      <c r="E507" s="288" t="s">
        <v>307</v>
      </c>
      <c r="F507" s="296">
        <v>0</v>
      </c>
      <c r="G507" s="296">
        <v>0</v>
      </c>
      <c r="H507" s="191"/>
      <c r="I507" s="191"/>
      <c r="J507" s="191"/>
      <c r="K507" s="191"/>
      <c r="L507" s="284"/>
    </row>
    <row r="508" spans="1:12" s="10" customFormat="1" ht="19.350000000000001" customHeight="1">
      <c r="A508" s="297" t="s">
        <v>8</v>
      </c>
      <c r="B508" s="296">
        <v>4000000</v>
      </c>
      <c r="C508" s="296">
        <v>4233318</v>
      </c>
      <c r="D508" s="165"/>
      <c r="E508" s="297" t="s">
        <v>9</v>
      </c>
      <c r="F508" s="296">
        <v>588100</v>
      </c>
      <c r="G508" s="296">
        <v>623100</v>
      </c>
      <c r="H508" s="191"/>
      <c r="I508" s="191"/>
      <c r="J508" s="191"/>
      <c r="K508" s="191"/>
      <c r="L508" s="284"/>
    </row>
    <row r="509" spans="1:12" s="10" customFormat="1" ht="19.350000000000001" customHeight="1">
      <c r="A509" s="297" t="s">
        <v>14</v>
      </c>
      <c r="B509" s="296">
        <v>43000</v>
      </c>
      <c r="C509" s="296">
        <v>135000</v>
      </c>
      <c r="D509" s="165"/>
      <c r="E509" s="297" t="s">
        <v>308</v>
      </c>
      <c r="F509" s="296">
        <v>315000</v>
      </c>
      <c r="G509" s="296">
        <v>266500</v>
      </c>
      <c r="H509" s="191"/>
      <c r="I509" s="191"/>
      <c r="J509" s="191"/>
      <c r="K509" s="191"/>
      <c r="L509" s="284"/>
    </row>
    <row r="510" spans="1:12" s="10" customFormat="1" ht="19.350000000000001" customHeight="1">
      <c r="A510" s="297" t="s">
        <v>147</v>
      </c>
      <c r="B510" s="296">
        <v>276000</v>
      </c>
      <c r="C510" s="296">
        <v>450000</v>
      </c>
      <c r="D510" s="165"/>
      <c r="E510" s="297" t="s">
        <v>309</v>
      </c>
      <c r="F510" s="296">
        <v>250000</v>
      </c>
      <c r="G510" s="296">
        <v>145144</v>
      </c>
      <c r="H510" s="191"/>
      <c r="I510" s="191"/>
      <c r="J510" s="191"/>
      <c r="K510" s="191"/>
      <c r="L510" s="284"/>
    </row>
    <row r="511" spans="1:12" s="10" customFormat="1" ht="19.350000000000001" customHeight="1">
      <c r="A511" s="297" t="s">
        <v>148</v>
      </c>
      <c r="B511" s="296">
        <v>133000</v>
      </c>
      <c r="C511" s="296">
        <v>215000</v>
      </c>
      <c r="D511" s="165"/>
      <c r="E511" s="297" t="s">
        <v>154</v>
      </c>
      <c r="F511" s="296">
        <v>2315000</v>
      </c>
      <c r="G511" s="296">
        <v>2150000</v>
      </c>
      <c r="H511" s="298"/>
      <c r="I511" s="191"/>
      <c r="J511" s="298"/>
      <c r="K511" s="191"/>
      <c r="L511" s="284"/>
    </row>
    <row r="512" spans="1:12" s="10" customFormat="1" ht="19.350000000000001" customHeight="1">
      <c r="A512" s="297" t="s">
        <v>310</v>
      </c>
      <c r="B512" s="296">
        <v>234000</v>
      </c>
      <c r="C512" s="296">
        <v>210000</v>
      </c>
      <c r="D512" s="165"/>
      <c r="E512" s="297" t="s">
        <v>311</v>
      </c>
      <c r="F512" s="296">
        <v>600000</v>
      </c>
      <c r="G512" s="296">
        <v>575000</v>
      </c>
      <c r="H512" s="298"/>
      <c r="I512" s="191"/>
      <c r="J512" s="191"/>
      <c r="K512" s="191"/>
      <c r="L512" s="284"/>
    </row>
    <row r="513" spans="1:12" s="10" customFormat="1" ht="19.350000000000001" customHeight="1">
      <c r="A513" s="299" t="s">
        <v>312</v>
      </c>
      <c r="B513" s="296">
        <v>96000</v>
      </c>
      <c r="C513" s="296">
        <v>140000</v>
      </c>
      <c r="D513" s="165"/>
      <c r="E513" s="165"/>
      <c r="F513" s="165"/>
      <c r="G513" s="165"/>
      <c r="H513" s="191"/>
      <c r="I513" s="191"/>
      <c r="J513" s="191"/>
      <c r="K513" s="191"/>
      <c r="L513" s="284"/>
    </row>
    <row r="514" spans="1:12" s="10" customFormat="1" ht="19.350000000000001" customHeight="1">
      <c r="A514" s="297" t="s">
        <v>313</v>
      </c>
      <c r="B514" s="296">
        <v>25000</v>
      </c>
      <c r="C514" s="300">
        <v>25000</v>
      </c>
      <c r="D514" s="165"/>
      <c r="E514" s="165"/>
      <c r="F514" s="165"/>
      <c r="G514" s="165"/>
      <c r="H514" s="191"/>
      <c r="I514" s="191"/>
      <c r="J514" s="191"/>
      <c r="K514" s="191"/>
      <c r="L514" s="284"/>
    </row>
    <row r="515" spans="1:12" s="10" customFormat="1" ht="19.350000000000001" customHeight="1">
      <c r="A515" s="165"/>
      <c r="B515" s="165"/>
      <c r="C515" s="165"/>
      <c r="D515" s="165"/>
      <c r="E515" s="301"/>
      <c r="F515" s="296"/>
      <c r="G515" s="296"/>
      <c r="H515" s="191"/>
      <c r="I515" s="191"/>
      <c r="J515" s="191"/>
      <c r="K515" s="191"/>
      <c r="L515" s="284"/>
    </row>
    <row r="516" spans="1:12" s="10" customFormat="1" ht="19.350000000000001" customHeight="1">
      <c r="A516" s="288" t="s">
        <v>314</v>
      </c>
      <c r="B516" s="302"/>
      <c r="C516" s="302"/>
      <c r="D516" s="165"/>
      <c r="E516" s="288" t="s">
        <v>315</v>
      </c>
      <c r="F516" s="296"/>
      <c r="G516" s="296"/>
      <c r="H516" s="191"/>
      <c r="I516" s="191"/>
      <c r="J516" s="191"/>
      <c r="K516" s="191"/>
      <c r="L516" s="284"/>
    </row>
    <row r="517" spans="1:12" s="10" customFormat="1" ht="19.350000000000001" customHeight="1">
      <c r="A517" s="297" t="s">
        <v>28</v>
      </c>
      <c r="B517" s="296">
        <v>5800000</v>
      </c>
      <c r="C517" s="296">
        <v>5800000</v>
      </c>
      <c r="D517" s="165"/>
      <c r="E517" s="297" t="s">
        <v>316</v>
      </c>
      <c r="F517" s="296">
        <v>11235000</v>
      </c>
      <c r="G517" s="296">
        <v>10660000</v>
      </c>
      <c r="H517" s="298"/>
      <c r="I517" s="191"/>
      <c r="J517" s="298"/>
      <c r="K517" s="191"/>
      <c r="L517" s="284"/>
    </row>
    <row r="518" spans="1:12" s="10" customFormat="1" ht="19.350000000000001" customHeight="1">
      <c r="A518" s="297" t="s">
        <v>30</v>
      </c>
      <c r="B518" s="296">
        <v>13475000</v>
      </c>
      <c r="C518" s="296">
        <v>13475000</v>
      </c>
      <c r="D518" s="165"/>
      <c r="E518" s="297" t="s">
        <v>317</v>
      </c>
      <c r="F518" s="296">
        <v>2500000</v>
      </c>
      <c r="G518" s="296">
        <v>2625000</v>
      </c>
      <c r="H518" s="298"/>
      <c r="I518" s="191"/>
      <c r="J518" s="298"/>
      <c r="K518" s="191"/>
      <c r="L518" s="284"/>
    </row>
    <row r="519" spans="1:12" s="10" customFormat="1" ht="19.350000000000001" customHeight="1">
      <c r="A519" s="297" t="s">
        <v>318</v>
      </c>
      <c r="B519" s="296">
        <v>-4000000</v>
      </c>
      <c r="C519" s="296">
        <v>-4539000</v>
      </c>
      <c r="D519" s="165"/>
      <c r="E519" s="165" t="s">
        <v>319</v>
      </c>
      <c r="F519" s="302">
        <v>2000000</v>
      </c>
      <c r="G519" s="302">
        <v>2000000</v>
      </c>
      <c r="H519" s="298"/>
      <c r="I519" s="191"/>
      <c r="J519" s="298"/>
      <c r="K519" s="191"/>
      <c r="L519" s="284"/>
    </row>
    <row r="520" spans="1:12" s="10" customFormat="1" ht="19.350000000000001" customHeight="1">
      <c r="A520" s="297" t="s">
        <v>33</v>
      </c>
      <c r="B520" s="296">
        <v>6150000</v>
      </c>
      <c r="C520" s="296">
        <v>5685000</v>
      </c>
      <c r="D520" s="165"/>
      <c r="E520" s="297" t="s">
        <v>158</v>
      </c>
      <c r="F520" s="296">
        <v>2428900</v>
      </c>
      <c r="G520" s="296">
        <v>2644474</v>
      </c>
      <c r="H520" s="298"/>
      <c r="I520" s="191"/>
      <c r="J520" s="298"/>
      <c r="K520" s="191"/>
      <c r="L520" s="284"/>
    </row>
    <row r="521" spans="1:12" s="10" customFormat="1" ht="19.350000000000001" customHeight="1">
      <c r="A521" s="297" t="s">
        <v>320</v>
      </c>
      <c r="B521" s="296">
        <v>-4000000</v>
      </c>
      <c r="C521" s="296">
        <v>-4140100</v>
      </c>
      <c r="D521" s="165"/>
      <c r="E521" s="165"/>
      <c r="F521" s="165"/>
      <c r="G521" s="165"/>
      <c r="H521" s="298"/>
      <c r="I521" s="191"/>
      <c r="J521" s="298"/>
      <c r="K521" s="191"/>
      <c r="L521" s="284"/>
    </row>
    <row r="522" spans="1:12" s="10" customFormat="1" ht="16.149999999999999" thickBot="1">
      <c r="A522" s="297"/>
      <c r="B522" s="296"/>
      <c r="C522" s="296"/>
      <c r="D522" s="165"/>
      <c r="E522" s="165"/>
      <c r="F522" s="165"/>
      <c r="G522" s="165"/>
      <c r="H522" s="191"/>
      <c r="I522" s="191"/>
      <c r="J522" s="191"/>
      <c r="K522" s="191"/>
      <c r="L522" s="284"/>
    </row>
    <row r="523" spans="1:12" s="10" customFormat="1" ht="14.65" thickBot="1">
      <c r="A523" s="303" t="s">
        <v>321</v>
      </c>
      <c r="B523" s="304">
        <v>22232000</v>
      </c>
      <c r="C523" s="305">
        <v>21689218</v>
      </c>
      <c r="D523" s="165"/>
      <c r="E523" s="289" t="s">
        <v>322</v>
      </c>
      <c r="F523" s="304">
        <v>22232000</v>
      </c>
      <c r="G523" s="305">
        <v>21689218</v>
      </c>
      <c r="H523" s="191"/>
      <c r="I523" s="191"/>
      <c r="J523" s="191"/>
      <c r="K523" s="191"/>
      <c r="L523" s="191"/>
    </row>
    <row r="524" spans="1:12" s="10" customFormat="1">
      <c r="A524" s="191"/>
      <c r="B524" s="191"/>
      <c r="C524" s="191"/>
      <c r="D524" s="306"/>
      <c r="E524" s="191"/>
      <c r="F524" s="191"/>
      <c r="G524" s="191"/>
      <c r="H524" s="191"/>
      <c r="I524" s="191"/>
      <c r="J524" s="191"/>
      <c r="K524" s="191"/>
      <c r="L524" s="191"/>
    </row>
    <row r="525" spans="1:12" s="10" customFormat="1" ht="17.45" customHeight="1" thickBot="1">
      <c r="A525" s="285"/>
      <c r="B525" s="286"/>
      <c r="C525" s="191"/>
      <c r="D525" s="306"/>
      <c r="E525" s="191"/>
      <c r="F525" s="191"/>
      <c r="G525" s="191"/>
      <c r="H525" s="191"/>
      <c r="I525" s="191"/>
      <c r="J525" s="191"/>
      <c r="K525" s="191"/>
      <c r="L525" s="191"/>
    </row>
    <row r="526" spans="1:12" s="10" customFormat="1" ht="36.6" customHeight="1" thickBot="1">
      <c r="A526" s="1025" t="s">
        <v>323</v>
      </c>
      <c r="B526" s="1026"/>
      <c r="C526" s="1026"/>
      <c r="D526" s="1026"/>
      <c r="E526" s="1026"/>
      <c r="F526" s="1027"/>
      <c r="G526" s="191"/>
      <c r="H526" s="191"/>
      <c r="I526" s="191"/>
      <c r="J526" s="191"/>
      <c r="K526" s="191"/>
      <c r="L526" s="191"/>
    </row>
    <row r="527" spans="1:12" s="10" customFormat="1">
      <c r="A527" s="307" t="s">
        <v>324</v>
      </c>
      <c r="B527" s="307"/>
      <c r="C527" s="307"/>
      <c r="D527" s="308"/>
      <c r="E527" s="308"/>
      <c r="F527" s="308"/>
      <c r="G527" s="191"/>
      <c r="H527" s="191"/>
      <c r="I527" s="191"/>
      <c r="J527" s="191"/>
      <c r="K527" s="191"/>
      <c r="L527" s="191"/>
    </row>
    <row r="528" spans="1:12" s="10" customFormat="1" ht="28.5">
      <c r="A528" s="309" t="s">
        <v>325</v>
      </c>
      <c r="B528" s="309" t="s">
        <v>3</v>
      </c>
      <c r="C528" s="310" t="s">
        <v>326</v>
      </c>
      <c r="D528" s="310" t="s">
        <v>327</v>
      </c>
      <c r="E528" s="310" t="s">
        <v>328</v>
      </c>
      <c r="F528" s="310" t="s">
        <v>54</v>
      </c>
      <c r="G528" s="191"/>
      <c r="H528" s="191"/>
      <c r="I528" s="191"/>
      <c r="J528" s="191"/>
      <c r="K528" s="191"/>
      <c r="L528" s="191"/>
    </row>
    <row r="529" spans="1:12" s="10" customFormat="1">
      <c r="A529" s="296" t="s">
        <v>73</v>
      </c>
      <c r="B529" s="296">
        <v>14228156</v>
      </c>
      <c r="C529" s="296">
        <v>0</v>
      </c>
      <c r="D529" s="296">
        <v>2845631</v>
      </c>
      <c r="E529" s="296">
        <v>1422816</v>
      </c>
      <c r="F529" s="296">
        <v>9959709</v>
      </c>
      <c r="G529" s="191"/>
      <c r="H529" s="191"/>
      <c r="I529" s="191"/>
      <c r="J529" s="191"/>
      <c r="K529" s="191"/>
      <c r="L529" s="191"/>
    </row>
    <row r="530" spans="1:12" s="10" customFormat="1">
      <c r="A530" s="296" t="s">
        <v>74</v>
      </c>
      <c r="B530" s="296">
        <v>8910000</v>
      </c>
      <c r="C530" s="296">
        <v>3742200</v>
      </c>
      <c r="D530" s="296">
        <v>2227500</v>
      </c>
      <c r="E530" s="296">
        <v>891000</v>
      </c>
      <c r="F530" s="296">
        <v>2049300</v>
      </c>
      <c r="G530" s="191"/>
      <c r="H530" s="191"/>
      <c r="I530" s="191"/>
      <c r="J530" s="191"/>
      <c r="K530" s="191"/>
      <c r="L530" s="191"/>
    </row>
    <row r="531" spans="1:12" s="10" customFormat="1">
      <c r="A531" s="296" t="s">
        <v>75</v>
      </c>
      <c r="B531" s="296">
        <v>2430000</v>
      </c>
      <c r="C531" s="296">
        <v>461700</v>
      </c>
      <c r="D531" s="296">
        <v>364500</v>
      </c>
      <c r="E531" s="296">
        <v>121500</v>
      </c>
      <c r="F531" s="296">
        <v>1482300</v>
      </c>
      <c r="G531" s="191"/>
      <c r="H531" s="191"/>
      <c r="I531" s="191"/>
      <c r="J531" s="191"/>
      <c r="K531" s="191"/>
      <c r="L531" s="191"/>
    </row>
    <row r="532" spans="1:12" s="10" customFormat="1">
      <c r="A532" s="296" t="s">
        <v>329</v>
      </c>
      <c r="B532" s="296">
        <v>4860000</v>
      </c>
      <c r="C532" s="296">
        <v>1944000</v>
      </c>
      <c r="D532" s="296">
        <v>1944000</v>
      </c>
      <c r="E532" s="296">
        <v>1215000</v>
      </c>
      <c r="F532" s="296">
        <v>-243000</v>
      </c>
      <c r="G532" s="191"/>
      <c r="H532" s="191"/>
      <c r="I532" s="191"/>
      <c r="J532" s="191"/>
      <c r="K532" s="191"/>
      <c r="L532" s="191"/>
    </row>
    <row r="533" spans="1:12" s="10" customFormat="1" ht="14.65" thickBot="1">
      <c r="A533" s="296"/>
      <c r="B533" s="296"/>
      <c r="C533" s="296"/>
      <c r="D533" s="296"/>
      <c r="E533" s="296"/>
      <c r="F533" s="296"/>
      <c r="G533" s="191"/>
      <c r="H533" s="191"/>
      <c r="I533" s="191"/>
      <c r="J533" s="191"/>
      <c r="K533" s="191"/>
      <c r="L533" s="191"/>
    </row>
    <row r="534" spans="1:12" s="10" customFormat="1" ht="14.65" thickBot="1">
      <c r="A534" s="311" t="s">
        <v>175</v>
      </c>
      <c r="B534" s="304">
        <v>30428156</v>
      </c>
      <c r="C534" s="304">
        <v>6147900</v>
      </c>
      <c r="D534" s="304">
        <v>7381631</v>
      </c>
      <c r="E534" s="304">
        <v>3650316</v>
      </c>
      <c r="F534" s="305">
        <v>13248309</v>
      </c>
      <c r="G534" s="191"/>
      <c r="H534" s="191"/>
      <c r="I534" s="191"/>
      <c r="J534" s="191"/>
      <c r="K534" s="191"/>
      <c r="L534" s="191"/>
    </row>
    <row r="535" spans="1:12" s="10" customFormat="1">
      <c r="A535" s="165"/>
      <c r="B535" s="165"/>
      <c r="C535" s="165"/>
      <c r="D535" s="165"/>
      <c r="E535" s="165"/>
      <c r="F535" s="165"/>
      <c r="G535" s="191"/>
      <c r="H535" s="191"/>
      <c r="I535" s="191"/>
      <c r="J535" s="191"/>
      <c r="K535" s="191"/>
      <c r="L535" s="191"/>
    </row>
    <row r="536" spans="1:12" s="10" customFormat="1">
      <c r="A536" s="312" t="s">
        <v>330</v>
      </c>
      <c r="B536" s="302"/>
      <c r="C536" s="302"/>
      <c r="D536" s="302"/>
      <c r="E536" s="302" t="s">
        <v>331</v>
      </c>
      <c r="F536" s="302"/>
      <c r="G536" s="191"/>
      <c r="H536" s="191"/>
      <c r="I536" s="191"/>
      <c r="J536" s="191"/>
      <c r="K536" s="191"/>
      <c r="L536" s="191"/>
    </row>
    <row r="537" spans="1:12" s="10" customFormat="1">
      <c r="A537" s="296" t="s">
        <v>332</v>
      </c>
      <c r="B537" s="296"/>
      <c r="C537" s="296"/>
      <c r="D537" s="296">
        <v>1825689</v>
      </c>
      <c r="E537" s="296">
        <v>164312</v>
      </c>
      <c r="F537" s="296">
        <v>1990001</v>
      </c>
      <c r="G537" s="191"/>
      <c r="H537" s="191"/>
      <c r="I537" s="191"/>
      <c r="J537" s="191"/>
      <c r="K537" s="191"/>
      <c r="L537" s="191"/>
    </row>
    <row r="538" spans="1:12" s="10" customFormat="1">
      <c r="A538" s="296" t="s">
        <v>80</v>
      </c>
      <c r="B538" s="296"/>
      <c r="C538" s="296"/>
      <c r="D538" s="296">
        <v>1521408</v>
      </c>
      <c r="E538" s="296">
        <v>1521408</v>
      </c>
      <c r="F538" s="296">
        <v>3042816</v>
      </c>
      <c r="G538" s="191"/>
      <c r="H538" s="191"/>
      <c r="I538" s="191"/>
      <c r="J538" s="191"/>
      <c r="K538" s="191"/>
      <c r="L538" s="191"/>
    </row>
    <row r="539" spans="1:12" s="10" customFormat="1">
      <c r="A539" s="296" t="s">
        <v>333</v>
      </c>
      <c r="B539" s="296"/>
      <c r="C539" s="296"/>
      <c r="D539" s="296">
        <v>2129971</v>
      </c>
      <c r="E539" s="296">
        <v>1597478</v>
      </c>
      <c r="F539" s="296">
        <v>3727449</v>
      </c>
      <c r="G539" s="191"/>
      <c r="H539" s="191"/>
      <c r="I539" s="191"/>
      <c r="J539" s="191"/>
      <c r="K539" s="191"/>
      <c r="L539" s="191"/>
    </row>
    <row r="540" spans="1:12" s="10" customFormat="1" ht="14.65" thickBot="1">
      <c r="A540" s="296" t="s">
        <v>82</v>
      </c>
      <c r="B540" s="296"/>
      <c r="C540" s="296"/>
      <c r="D540" s="296"/>
      <c r="E540" s="296">
        <v>900225</v>
      </c>
      <c r="F540" s="296">
        <v>900225</v>
      </c>
      <c r="G540" s="191"/>
      <c r="H540" s="191"/>
      <c r="I540" s="191"/>
      <c r="J540" s="191"/>
      <c r="K540" s="191"/>
      <c r="L540" s="191"/>
    </row>
    <row r="541" spans="1:12" s="10" customFormat="1" ht="14.65" thickBot="1">
      <c r="A541" s="311" t="s">
        <v>334</v>
      </c>
      <c r="B541" s="304"/>
      <c r="C541" s="304"/>
      <c r="D541" s="304">
        <v>5477068</v>
      </c>
      <c r="E541" s="304">
        <v>4183423</v>
      </c>
      <c r="F541" s="305">
        <v>9660491</v>
      </c>
      <c r="G541" s="191"/>
      <c r="H541" s="191"/>
      <c r="I541" s="191"/>
      <c r="J541" s="191"/>
      <c r="K541" s="191"/>
      <c r="L541" s="191"/>
    </row>
    <row r="542" spans="1:12" s="10" customFormat="1">
      <c r="A542" s="312"/>
      <c r="B542" s="312"/>
      <c r="C542" s="312"/>
      <c r="D542" s="312"/>
      <c r="E542" s="312"/>
      <c r="F542" s="312"/>
      <c r="G542" s="191"/>
      <c r="H542" s="191"/>
      <c r="I542" s="191"/>
      <c r="J542" s="191"/>
      <c r="K542" s="191"/>
      <c r="L542" s="191"/>
    </row>
    <row r="543" spans="1:12" s="10" customFormat="1">
      <c r="A543" s="312" t="s">
        <v>335</v>
      </c>
      <c r="B543" s="312"/>
      <c r="C543" s="312"/>
      <c r="D543" s="312"/>
      <c r="E543" s="312"/>
      <c r="F543" s="312"/>
      <c r="G543" s="191"/>
      <c r="H543" s="191"/>
      <c r="I543" s="191"/>
      <c r="J543" s="191"/>
      <c r="K543" s="191"/>
      <c r="L543" s="191"/>
    </row>
    <row r="544" spans="1:12" s="10" customFormat="1">
      <c r="A544" s="313" t="s">
        <v>86</v>
      </c>
      <c r="B544" s="302"/>
      <c r="C544" s="302"/>
      <c r="D544" s="302"/>
      <c r="E544" s="302"/>
      <c r="F544" s="314">
        <v>1375000</v>
      </c>
      <c r="G544" s="191"/>
      <c r="H544" s="191"/>
      <c r="I544" s="191"/>
      <c r="J544" s="191"/>
      <c r="K544" s="191"/>
      <c r="L544" s="191"/>
    </row>
    <row r="545" spans="1:12" s="10" customFormat="1">
      <c r="A545" s="296" t="s">
        <v>336</v>
      </c>
      <c r="B545" s="296"/>
      <c r="C545" s="296"/>
      <c r="D545" s="296"/>
      <c r="E545" s="296"/>
      <c r="F545" s="296">
        <v>215600</v>
      </c>
      <c r="G545" s="191"/>
      <c r="H545" s="191"/>
      <c r="I545" s="191"/>
      <c r="J545" s="191"/>
      <c r="K545" s="191"/>
      <c r="L545" s="191"/>
    </row>
    <row r="546" spans="1:12" s="10" customFormat="1">
      <c r="A546" s="296" t="s">
        <v>337</v>
      </c>
      <c r="B546" s="296"/>
      <c r="C546" s="296"/>
      <c r="D546" s="296"/>
      <c r="E546" s="296"/>
      <c r="F546" s="296">
        <v>539000</v>
      </c>
      <c r="G546" s="191"/>
      <c r="H546" s="191"/>
      <c r="I546" s="191"/>
      <c r="J546" s="191"/>
      <c r="K546" s="191"/>
      <c r="L546" s="191"/>
    </row>
    <row r="547" spans="1:12" s="10" customFormat="1">
      <c r="A547" s="296" t="s">
        <v>338</v>
      </c>
      <c r="B547" s="296"/>
      <c r="C547" s="296"/>
      <c r="D547" s="296"/>
      <c r="E547" s="296"/>
      <c r="F547" s="296">
        <v>307500</v>
      </c>
      <c r="G547" s="191"/>
      <c r="H547" s="191"/>
      <c r="I547" s="191"/>
      <c r="J547" s="191"/>
      <c r="K547" s="191"/>
      <c r="L547" s="191"/>
    </row>
    <row r="548" spans="1:12" s="10" customFormat="1">
      <c r="A548" s="315" t="s">
        <v>339</v>
      </c>
      <c r="B548" s="296"/>
      <c r="C548" s="296"/>
      <c r="D548" s="296"/>
      <c r="E548" s="296"/>
      <c r="F548" s="296">
        <v>75000</v>
      </c>
      <c r="G548" s="191"/>
      <c r="H548" s="191"/>
      <c r="I548" s="191"/>
      <c r="J548" s="191"/>
      <c r="K548" s="191"/>
      <c r="L548" s="191"/>
    </row>
    <row r="549" spans="1:12" s="10" customFormat="1">
      <c r="A549" s="296"/>
      <c r="B549" s="296"/>
      <c r="C549" s="296"/>
      <c r="D549" s="296"/>
      <c r="E549" s="296"/>
      <c r="F549" s="296"/>
      <c r="G549" s="191"/>
      <c r="H549" s="191"/>
      <c r="I549" s="191"/>
      <c r="J549" s="191"/>
      <c r="K549" s="191"/>
      <c r="L549" s="191"/>
    </row>
    <row r="550" spans="1:12" s="10" customFormat="1">
      <c r="A550" s="296" t="s">
        <v>340</v>
      </c>
      <c r="B550" s="296"/>
      <c r="C550" s="296"/>
      <c r="D550" s="296"/>
      <c r="E550" s="296"/>
      <c r="F550" s="316">
        <v>1225718</v>
      </c>
      <c r="G550" s="191"/>
      <c r="H550" s="191"/>
      <c r="I550" s="191"/>
      <c r="J550" s="191"/>
      <c r="K550" s="191"/>
      <c r="L550" s="191"/>
    </row>
    <row r="551" spans="1:12" s="10" customFormat="1">
      <c r="A551" s="296" t="s">
        <v>341</v>
      </c>
      <c r="B551" s="296"/>
      <c r="C551" s="296"/>
      <c r="D551" s="296"/>
      <c r="E551" s="296"/>
      <c r="F551" s="296">
        <v>500000</v>
      </c>
      <c r="G551" s="191"/>
      <c r="H551" s="191"/>
      <c r="I551" s="191"/>
      <c r="J551" s="191"/>
      <c r="K551" s="191"/>
      <c r="L551" s="191"/>
    </row>
    <row r="552" spans="1:12" s="10" customFormat="1">
      <c r="A552" s="296" t="s">
        <v>342</v>
      </c>
      <c r="B552" s="296"/>
      <c r="C552" s="296"/>
      <c r="D552" s="296"/>
      <c r="E552" s="296"/>
      <c r="F552" s="317">
        <v>725718</v>
      </c>
      <c r="G552" s="191"/>
      <c r="H552" s="191"/>
      <c r="I552" s="191"/>
      <c r="J552" s="191"/>
      <c r="K552" s="191"/>
      <c r="L552" s="191"/>
    </row>
    <row r="553" spans="1:12" s="10" customFormat="1">
      <c r="A553" s="296" t="s">
        <v>343</v>
      </c>
      <c r="B553" s="296"/>
      <c r="C553" s="296"/>
      <c r="D553" s="296"/>
      <c r="E553" s="296"/>
      <c r="F553" s="318">
        <v>145144</v>
      </c>
      <c r="G553" s="191"/>
      <c r="H553" s="191"/>
      <c r="I553" s="191"/>
      <c r="J553" s="191"/>
      <c r="K553" s="191"/>
      <c r="L553" s="191"/>
    </row>
    <row r="554" spans="1:12" s="10" customFormat="1" ht="14.65" thickBot="1">
      <c r="A554" s="296"/>
      <c r="B554" s="296"/>
      <c r="C554" s="296"/>
      <c r="D554" s="296"/>
      <c r="E554" s="296"/>
      <c r="F554" s="296"/>
      <c r="G554" s="191"/>
      <c r="H554" s="191"/>
      <c r="I554" s="191"/>
      <c r="J554" s="191"/>
      <c r="K554" s="191"/>
      <c r="L554" s="191"/>
    </row>
    <row r="555" spans="1:12" s="10" customFormat="1" ht="14.65" thickBot="1">
      <c r="A555" s="311" t="s">
        <v>92</v>
      </c>
      <c r="B555" s="304"/>
      <c r="C555" s="304"/>
      <c r="D555" s="304"/>
      <c r="E555" s="304"/>
      <c r="F555" s="305">
        <v>580574</v>
      </c>
      <c r="G555" s="191"/>
      <c r="H555" s="191"/>
      <c r="I555" s="191"/>
      <c r="J555" s="191"/>
      <c r="K555" s="191"/>
      <c r="L555" s="191"/>
    </row>
    <row r="556" spans="1:12" s="10" customFormat="1">
      <c r="A556" s="191"/>
      <c r="B556" s="191"/>
      <c r="C556" s="191"/>
      <c r="D556" s="191"/>
      <c r="E556" s="191"/>
      <c r="F556" s="191"/>
      <c r="G556" s="191"/>
      <c r="H556" s="191"/>
      <c r="I556" s="191"/>
      <c r="J556" s="191"/>
      <c r="K556" s="191"/>
      <c r="L556" s="191"/>
    </row>
    <row r="558" spans="1:12">
      <c r="A558" s="987" t="s">
        <v>537</v>
      </c>
      <c r="B558" s="988"/>
      <c r="C558" s="988"/>
      <c r="D558" s="988"/>
      <c r="E558" s="988"/>
      <c r="F558" s="988"/>
      <c r="G558" s="988"/>
      <c r="H558" s="988"/>
      <c r="I558" s="988"/>
      <c r="J558" s="988"/>
      <c r="K558" s="989"/>
    </row>
    <row r="559" spans="1:12">
      <c r="A559" s="1095" t="s">
        <v>538</v>
      </c>
      <c r="B559" s="1096"/>
      <c r="C559" s="1096"/>
      <c r="D559" s="1096"/>
      <c r="E559" s="1096"/>
      <c r="F559" s="1096"/>
      <c r="G559" s="1096"/>
      <c r="H559" s="1096"/>
      <c r="I559" s="1096"/>
      <c r="J559" s="1096"/>
      <c r="K559" s="1097"/>
    </row>
    <row r="561" spans="1:11" s="2" customFormat="1">
      <c r="A561" s="164">
        <v>14</v>
      </c>
    </row>
    <row r="563" spans="1:11">
      <c r="A563" s="987" t="s">
        <v>536</v>
      </c>
      <c r="B563" s="988"/>
      <c r="C563" s="988"/>
      <c r="D563" s="988"/>
      <c r="E563" s="988"/>
      <c r="F563" s="988"/>
      <c r="G563" s="988"/>
      <c r="H563" s="988"/>
      <c r="I563" s="988"/>
      <c r="J563" s="988"/>
      <c r="K563" s="989"/>
    </row>
    <row r="564" spans="1:11">
      <c r="A564" s="983" t="s">
        <v>539</v>
      </c>
      <c r="B564" s="984"/>
      <c r="C564" s="984"/>
      <c r="D564" s="984"/>
      <c r="E564" s="984"/>
      <c r="F564" s="984"/>
      <c r="G564" s="984"/>
      <c r="H564" s="984"/>
      <c r="I564" s="984"/>
      <c r="J564" s="984"/>
      <c r="K564" s="985"/>
    </row>
    <row r="566" spans="1:11" s="2" customFormat="1">
      <c r="A566" s="164">
        <v>15</v>
      </c>
    </row>
    <row r="568" spans="1:11" ht="23.25">
      <c r="A568" s="285" t="s">
        <v>304</v>
      </c>
      <c r="B568" s="286"/>
      <c r="C568" s="284"/>
      <c r="D568" s="284"/>
      <c r="E568" s="284"/>
      <c r="F568" s="284"/>
      <c r="G568" s="284"/>
      <c r="H568" s="284"/>
      <c r="I568" s="284"/>
      <c r="J568" s="284"/>
      <c r="K568" s="284"/>
    </row>
    <row r="569" spans="1:11" ht="23.25">
      <c r="A569" s="285" t="s">
        <v>145</v>
      </c>
      <c r="B569" s="285"/>
      <c r="C569" s="287"/>
      <c r="D569" s="287"/>
      <c r="E569" s="287"/>
      <c r="F569" s="287"/>
      <c r="G569" s="287"/>
      <c r="H569" s="284"/>
      <c r="I569" s="284"/>
      <c r="J569" s="284"/>
      <c r="K569" s="284"/>
    </row>
    <row r="570" spans="1:11">
      <c r="A570" s="992" t="s">
        <v>528</v>
      </c>
      <c r="B570" s="992"/>
      <c r="C570" s="992"/>
      <c r="D570" s="992"/>
      <c r="E570" s="992"/>
      <c r="F570" s="992"/>
      <c r="G570" s="992"/>
      <c r="H570" s="191"/>
      <c r="I570" s="191"/>
      <c r="J570" s="191"/>
      <c r="K570" s="191"/>
    </row>
    <row r="571" spans="1:11">
      <c r="A571" s="992"/>
      <c r="B571" s="992"/>
      <c r="C571" s="992"/>
      <c r="D571" s="992"/>
      <c r="E571" s="992"/>
      <c r="F571" s="992"/>
      <c r="G571" s="992"/>
      <c r="H571" s="191"/>
      <c r="I571" s="191"/>
      <c r="J571" s="191"/>
      <c r="K571" s="191"/>
    </row>
    <row r="572" spans="1:11" ht="14.65" thickBot="1">
      <c r="A572" s="288" t="s">
        <v>306</v>
      </c>
      <c r="B572" s="288"/>
      <c r="C572" s="288"/>
      <c r="D572" s="165"/>
      <c r="E572" s="165"/>
      <c r="F572" s="165"/>
      <c r="G572" s="165"/>
      <c r="H572" s="191"/>
      <c r="I572" s="191"/>
      <c r="J572" s="191"/>
      <c r="K572" s="191"/>
    </row>
    <row r="573" spans="1:11" ht="14.65" thickBot="1">
      <c r="A573" s="289"/>
      <c r="B573" s="290">
        <v>2021</v>
      </c>
      <c r="C573" s="291">
        <v>2022</v>
      </c>
      <c r="D573" s="165"/>
      <c r="E573" s="292"/>
      <c r="F573" s="293">
        <v>2021</v>
      </c>
      <c r="G573" s="294">
        <v>2022</v>
      </c>
      <c r="H573" s="191"/>
      <c r="I573" s="191"/>
      <c r="J573" s="191"/>
      <c r="K573" s="191"/>
    </row>
    <row r="574" spans="1:11">
      <c r="A574" s="288" t="s">
        <v>6</v>
      </c>
      <c r="B574" s="295"/>
      <c r="C574" s="295"/>
      <c r="D574" s="165"/>
      <c r="E574" s="288" t="s">
        <v>307</v>
      </c>
      <c r="F574" s="444">
        <v>0</v>
      </c>
      <c r="G574" s="444">
        <v>0</v>
      </c>
      <c r="H574" s="191"/>
      <c r="I574" s="191"/>
      <c r="J574" s="191"/>
      <c r="K574" s="191"/>
    </row>
    <row r="575" spans="1:11">
      <c r="A575" s="445" t="s">
        <v>8</v>
      </c>
      <c r="B575" s="444">
        <v>4000000</v>
      </c>
      <c r="C575" s="444">
        <v>4583218</v>
      </c>
      <c r="D575" s="165"/>
      <c r="E575" s="445" t="s">
        <v>9</v>
      </c>
      <c r="F575" s="444">
        <v>588100</v>
      </c>
      <c r="G575" s="444">
        <v>623100</v>
      </c>
      <c r="H575" s="191"/>
      <c r="I575" s="191"/>
      <c r="J575" s="191"/>
      <c r="K575" s="191"/>
    </row>
    <row r="576" spans="1:11">
      <c r="A576" s="445" t="s">
        <v>14</v>
      </c>
      <c r="B576" s="444">
        <v>43000</v>
      </c>
      <c r="C576" s="444">
        <v>135000</v>
      </c>
      <c r="D576" s="165"/>
      <c r="E576" s="445" t="s">
        <v>308</v>
      </c>
      <c r="F576" s="444">
        <v>315000</v>
      </c>
      <c r="G576" s="444">
        <v>266500</v>
      </c>
      <c r="H576" s="191"/>
      <c r="I576" s="191"/>
      <c r="J576" s="191"/>
      <c r="K576" s="191"/>
    </row>
    <row r="577" spans="1:11">
      <c r="A577" s="445" t="s">
        <v>147</v>
      </c>
      <c r="B577" s="444">
        <v>276000</v>
      </c>
      <c r="C577" s="444">
        <v>450000</v>
      </c>
      <c r="D577" s="165"/>
      <c r="E577" s="445" t="s">
        <v>309</v>
      </c>
      <c r="F577" s="444">
        <v>250000</v>
      </c>
      <c r="G577" s="444">
        <v>145144</v>
      </c>
      <c r="H577" s="191"/>
      <c r="I577" s="191"/>
      <c r="J577" s="191"/>
      <c r="K577" s="191"/>
    </row>
    <row r="578" spans="1:11">
      <c r="A578" s="445" t="s">
        <v>148</v>
      </c>
      <c r="B578" s="444">
        <v>133000</v>
      </c>
      <c r="C578" s="444">
        <v>215000</v>
      </c>
      <c r="D578" s="165"/>
      <c r="E578" s="445" t="s">
        <v>154</v>
      </c>
      <c r="F578" s="444">
        <v>2315000</v>
      </c>
      <c r="G578" s="444">
        <v>2150000</v>
      </c>
      <c r="H578" s="191"/>
      <c r="I578" s="191"/>
      <c r="J578" s="191"/>
      <c r="K578" s="191"/>
    </row>
    <row r="579" spans="1:11">
      <c r="A579" s="445" t="s">
        <v>310</v>
      </c>
      <c r="B579" s="444">
        <v>234000</v>
      </c>
      <c r="C579" s="444">
        <v>210000</v>
      </c>
      <c r="D579" s="165"/>
      <c r="E579" s="445" t="s">
        <v>311</v>
      </c>
      <c r="F579" s="444">
        <v>600000</v>
      </c>
      <c r="G579" s="444">
        <v>575000</v>
      </c>
      <c r="H579" s="191"/>
      <c r="I579" s="191"/>
      <c r="J579" s="191"/>
      <c r="K579" s="191"/>
    </row>
    <row r="580" spans="1:11">
      <c r="A580" s="299" t="s">
        <v>312</v>
      </c>
      <c r="B580" s="444">
        <v>96000</v>
      </c>
      <c r="C580" s="444">
        <v>140000</v>
      </c>
      <c r="D580" s="165"/>
      <c r="E580" s="165"/>
      <c r="F580" s="165"/>
      <c r="G580" s="165"/>
      <c r="H580" s="191"/>
      <c r="I580" s="191"/>
      <c r="J580" s="191"/>
      <c r="K580" s="191"/>
    </row>
    <row r="581" spans="1:11">
      <c r="A581" s="445" t="s">
        <v>313</v>
      </c>
      <c r="B581" s="444">
        <v>25000</v>
      </c>
      <c r="C581" s="446">
        <v>0</v>
      </c>
      <c r="D581" s="165"/>
      <c r="E581" s="165"/>
      <c r="F581" s="165"/>
      <c r="G581" s="165"/>
      <c r="H581" s="191"/>
      <c r="I581" s="191"/>
      <c r="J581" s="191"/>
      <c r="K581" s="191"/>
    </row>
    <row r="582" spans="1:11">
      <c r="A582" s="165"/>
      <c r="B582" s="165"/>
      <c r="C582" s="165"/>
      <c r="D582" s="165"/>
      <c r="E582" s="301"/>
      <c r="F582" s="444"/>
      <c r="G582" s="444"/>
      <c r="H582" s="191"/>
      <c r="I582" s="191"/>
      <c r="J582" s="191"/>
      <c r="K582" s="191"/>
    </row>
    <row r="583" spans="1:11">
      <c r="A583" s="288" t="s">
        <v>314</v>
      </c>
      <c r="B583" s="302"/>
      <c r="C583" s="302"/>
      <c r="D583" s="165"/>
      <c r="E583" s="288" t="s">
        <v>315</v>
      </c>
      <c r="F583" s="444"/>
      <c r="G583" s="444"/>
      <c r="H583" s="191"/>
      <c r="I583" s="191"/>
      <c r="J583" s="191"/>
      <c r="K583" s="191"/>
    </row>
    <row r="584" spans="1:11">
      <c r="A584" s="445" t="s">
        <v>28</v>
      </c>
      <c r="B584" s="444">
        <v>5800000</v>
      </c>
      <c r="C584" s="444">
        <v>5800000</v>
      </c>
      <c r="D584" s="165"/>
      <c r="E584" s="445" t="s">
        <v>316</v>
      </c>
      <c r="F584" s="444">
        <v>11235000</v>
      </c>
      <c r="G584" s="444">
        <v>10985000</v>
      </c>
      <c r="H584" s="191"/>
      <c r="I584" s="191"/>
      <c r="J584" s="191"/>
      <c r="K584" s="191"/>
    </row>
    <row r="585" spans="1:11">
      <c r="A585" s="445" t="s">
        <v>30</v>
      </c>
      <c r="B585" s="444">
        <v>13475000</v>
      </c>
      <c r="C585" s="444">
        <v>13475000</v>
      </c>
      <c r="D585" s="165"/>
      <c r="E585" s="445" t="s">
        <v>317</v>
      </c>
      <c r="F585" s="444">
        <v>2500000</v>
      </c>
      <c r="G585" s="444">
        <v>2550000</v>
      </c>
      <c r="H585" s="191"/>
      <c r="I585" s="191"/>
      <c r="J585" s="191"/>
      <c r="K585" s="191"/>
    </row>
    <row r="586" spans="1:11">
      <c r="A586" s="445" t="s">
        <v>318</v>
      </c>
      <c r="B586" s="444">
        <v>-4000000</v>
      </c>
      <c r="C586" s="444">
        <v>-4539000</v>
      </c>
      <c r="D586" s="165"/>
      <c r="E586" s="165" t="s">
        <v>319</v>
      </c>
      <c r="F586" s="302">
        <v>2000000</v>
      </c>
      <c r="G586" s="302">
        <v>2075000</v>
      </c>
      <c r="H586" s="191"/>
      <c r="I586" s="191"/>
      <c r="J586" s="191"/>
      <c r="K586" s="191"/>
    </row>
    <row r="587" spans="1:11">
      <c r="A587" s="445" t="s">
        <v>33</v>
      </c>
      <c r="B587" s="444">
        <v>6150000</v>
      </c>
      <c r="C587" s="444">
        <v>5685000</v>
      </c>
      <c r="D587" s="165"/>
      <c r="E587" s="445" t="s">
        <v>158</v>
      </c>
      <c r="F587" s="444">
        <v>2428900</v>
      </c>
      <c r="G587" s="444">
        <v>2644474</v>
      </c>
      <c r="H587" s="191"/>
      <c r="I587" s="191"/>
      <c r="J587" s="191"/>
      <c r="K587" s="191"/>
    </row>
    <row r="588" spans="1:11">
      <c r="A588" s="445" t="s">
        <v>320</v>
      </c>
      <c r="B588" s="444">
        <v>-4000000</v>
      </c>
      <c r="C588" s="444">
        <v>-4140000</v>
      </c>
      <c r="D588" s="165"/>
      <c r="E588" s="165"/>
      <c r="F588" s="165"/>
      <c r="G588" s="165"/>
      <c r="H588" s="191"/>
      <c r="I588" s="191"/>
      <c r="J588" s="191"/>
      <c r="K588" s="191"/>
    </row>
    <row r="589" spans="1:11" ht="14.65" thickBot="1">
      <c r="A589" s="445"/>
      <c r="B589" s="444"/>
      <c r="C589" s="444"/>
      <c r="D589" s="165"/>
      <c r="E589" s="165"/>
      <c r="F589" s="165"/>
      <c r="G589" s="165"/>
      <c r="H589" s="191"/>
      <c r="I589" s="191"/>
      <c r="J589" s="191"/>
      <c r="K589" s="191"/>
    </row>
    <row r="590" spans="1:11" ht="14.65" thickBot="1">
      <c r="A590" s="303" t="s">
        <v>321</v>
      </c>
      <c r="B590" s="304">
        <v>22232000</v>
      </c>
      <c r="C590" s="305">
        <v>22014218</v>
      </c>
      <c r="D590" s="165"/>
      <c r="E590" s="289" t="s">
        <v>322</v>
      </c>
      <c r="F590" s="304">
        <v>22232000</v>
      </c>
      <c r="G590" s="305">
        <v>22014218</v>
      </c>
      <c r="H590" s="191"/>
      <c r="I590" s="191"/>
      <c r="J590" s="191"/>
      <c r="K590" s="191"/>
    </row>
    <row r="591" spans="1:11">
      <c r="A591" s="191"/>
      <c r="B591" s="191"/>
      <c r="C591" s="191"/>
      <c r="D591" s="306"/>
      <c r="E591" s="191"/>
      <c r="F591" s="191"/>
      <c r="G591" s="191"/>
      <c r="H591" s="191"/>
      <c r="I591" s="191"/>
      <c r="J591" s="191"/>
      <c r="K591" s="191"/>
    </row>
    <row r="592" spans="1:11" ht="23.65" thickBot="1">
      <c r="A592" s="285" t="s">
        <v>173</v>
      </c>
      <c r="B592" s="286"/>
      <c r="C592" s="191"/>
      <c r="D592" s="306"/>
      <c r="E592" s="191"/>
      <c r="F592" s="191"/>
      <c r="G592" s="191"/>
      <c r="H592" s="191"/>
      <c r="I592" s="191"/>
      <c r="J592" s="191"/>
      <c r="K592" s="191"/>
    </row>
    <row r="593" spans="1:11" ht="36.4" thickBot="1">
      <c r="A593" s="1025" t="s">
        <v>529</v>
      </c>
      <c r="B593" s="1026"/>
      <c r="C593" s="1026"/>
      <c r="D593" s="1026"/>
      <c r="E593" s="1026"/>
      <c r="F593" s="1027"/>
      <c r="G593" s="191"/>
      <c r="H593" s="191"/>
      <c r="I593" s="191"/>
      <c r="J593" s="191"/>
      <c r="K593" s="191"/>
    </row>
    <row r="594" spans="1:11">
      <c r="A594" s="307" t="s">
        <v>324</v>
      </c>
      <c r="B594" s="307"/>
      <c r="C594" s="307"/>
      <c r="D594" s="447"/>
      <c r="E594" s="447"/>
      <c r="F594" s="447"/>
      <c r="G594" s="191"/>
      <c r="H594" s="191"/>
      <c r="I594" s="191"/>
      <c r="J594" s="191"/>
      <c r="K594" s="191"/>
    </row>
    <row r="595" spans="1:11" ht="28.5">
      <c r="A595" s="309" t="s">
        <v>325</v>
      </c>
      <c r="B595" s="309" t="s">
        <v>3</v>
      </c>
      <c r="C595" s="310" t="s">
        <v>326</v>
      </c>
      <c r="D595" s="310" t="s">
        <v>327</v>
      </c>
      <c r="E595" s="310" t="s">
        <v>328</v>
      </c>
      <c r="F595" s="310" t="s">
        <v>54</v>
      </c>
      <c r="G595" s="191"/>
      <c r="H595" s="191"/>
      <c r="I595" s="191"/>
      <c r="J595" s="191"/>
      <c r="K595" s="191"/>
    </row>
    <row r="596" spans="1:11">
      <c r="A596" s="444" t="s">
        <v>73</v>
      </c>
      <c r="B596" s="444">
        <v>15000000</v>
      </c>
      <c r="C596" s="444">
        <v>0</v>
      </c>
      <c r="D596" s="444">
        <v>3000000</v>
      </c>
      <c r="E596" s="444">
        <v>1400000</v>
      </c>
      <c r="F596" s="444">
        <v>10600000</v>
      </c>
      <c r="G596" s="191"/>
      <c r="H596" s="191"/>
      <c r="I596" s="191"/>
      <c r="J596" s="191"/>
      <c r="K596" s="191"/>
    </row>
    <row r="597" spans="1:11">
      <c r="A597" s="444" t="s">
        <v>74</v>
      </c>
      <c r="B597" s="444">
        <v>8000000</v>
      </c>
      <c r="C597" s="444">
        <v>3000000</v>
      </c>
      <c r="D597" s="444">
        <v>2000000</v>
      </c>
      <c r="E597" s="444">
        <v>800000</v>
      </c>
      <c r="F597" s="444">
        <v>2200000</v>
      </c>
      <c r="G597" s="191"/>
      <c r="H597" s="191"/>
      <c r="I597" s="191"/>
      <c r="J597" s="191"/>
      <c r="K597" s="191"/>
    </row>
    <row r="598" spans="1:11">
      <c r="A598" s="444" t="s">
        <v>75</v>
      </c>
      <c r="B598" s="444">
        <v>2500000</v>
      </c>
      <c r="C598" s="444">
        <v>500000</v>
      </c>
      <c r="D598" s="444">
        <v>400000</v>
      </c>
      <c r="E598" s="444">
        <v>120000</v>
      </c>
      <c r="F598" s="444">
        <v>1480000</v>
      </c>
      <c r="G598" s="191"/>
      <c r="H598" s="191"/>
      <c r="I598" s="191"/>
      <c r="J598" s="191"/>
      <c r="K598" s="191"/>
    </row>
    <row r="599" spans="1:11">
      <c r="A599" s="444" t="s">
        <v>329</v>
      </c>
      <c r="B599" s="444">
        <v>4800000</v>
      </c>
      <c r="C599" s="444">
        <v>1000000</v>
      </c>
      <c r="D599" s="444">
        <v>1200000</v>
      </c>
      <c r="E599" s="444">
        <v>1200000</v>
      </c>
      <c r="F599" s="444">
        <v>1400000</v>
      </c>
      <c r="G599" s="191"/>
      <c r="H599" s="191"/>
      <c r="I599" s="191"/>
      <c r="J599" s="191"/>
      <c r="K599" s="191"/>
    </row>
    <row r="600" spans="1:11" ht="14.65" thickBot="1">
      <c r="A600" s="444"/>
      <c r="B600" s="444"/>
      <c r="C600" s="444"/>
      <c r="D600" s="444"/>
      <c r="E600" s="444"/>
      <c r="F600" s="444"/>
      <c r="G600" s="191"/>
      <c r="H600" s="191"/>
      <c r="I600" s="191"/>
      <c r="J600" s="191"/>
      <c r="K600" s="191"/>
    </row>
    <row r="601" spans="1:11" ht="14.65" thickBot="1">
      <c r="A601" s="311" t="s">
        <v>175</v>
      </c>
      <c r="B601" s="304">
        <v>30300000</v>
      </c>
      <c r="C601" s="304">
        <v>4500000</v>
      </c>
      <c r="D601" s="304">
        <v>6600000</v>
      </c>
      <c r="E601" s="304">
        <v>3520000</v>
      </c>
      <c r="F601" s="305">
        <v>15680000</v>
      </c>
      <c r="G601" s="191"/>
      <c r="H601" s="191"/>
      <c r="I601" s="191"/>
      <c r="J601" s="191"/>
      <c r="K601" s="191"/>
    </row>
    <row r="602" spans="1:11">
      <c r="A602" s="165"/>
      <c r="B602" s="165"/>
      <c r="C602" s="165"/>
      <c r="D602" s="165"/>
      <c r="E602" s="165"/>
      <c r="F602" s="165"/>
      <c r="G602" s="191"/>
      <c r="H602" s="191"/>
      <c r="I602" s="191"/>
      <c r="J602" s="191"/>
      <c r="K602" s="191"/>
    </row>
    <row r="603" spans="1:11">
      <c r="A603" s="312" t="s">
        <v>330</v>
      </c>
      <c r="B603" s="302"/>
      <c r="C603" s="302"/>
      <c r="D603" s="302"/>
      <c r="E603" s="302" t="s">
        <v>331</v>
      </c>
      <c r="F603" s="302"/>
      <c r="G603" s="191"/>
      <c r="H603" s="191"/>
      <c r="I603" s="191"/>
      <c r="J603" s="191"/>
      <c r="K603" s="191"/>
    </row>
    <row r="604" spans="1:11">
      <c r="A604" s="444" t="s">
        <v>332</v>
      </c>
      <c r="B604" s="444"/>
      <c r="C604" s="444"/>
      <c r="D604" s="444">
        <v>1900000</v>
      </c>
      <c r="E604" s="444">
        <v>160000</v>
      </c>
      <c r="F604" s="444">
        <v>2060000</v>
      </c>
      <c r="G604" s="191"/>
      <c r="H604" s="191"/>
      <c r="I604" s="191"/>
      <c r="J604" s="191"/>
      <c r="K604" s="191"/>
    </row>
    <row r="605" spans="1:11">
      <c r="A605" s="444" t="s">
        <v>80</v>
      </c>
      <c r="B605" s="444"/>
      <c r="C605" s="444"/>
      <c r="D605" s="444">
        <v>1500000</v>
      </c>
      <c r="E605" s="444">
        <v>1500000</v>
      </c>
      <c r="F605" s="444">
        <v>3000000</v>
      </c>
      <c r="G605" s="191"/>
      <c r="H605" s="191"/>
      <c r="I605" s="191"/>
      <c r="J605" s="191"/>
      <c r="K605" s="191"/>
    </row>
    <row r="606" spans="1:11">
      <c r="A606" s="444" t="s">
        <v>333</v>
      </c>
      <c r="B606" s="444"/>
      <c r="C606" s="444"/>
      <c r="D606" s="444">
        <v>2000000</v>
      </c>
      <c r="E606" s="444">
        <v>1400000</v>
      </c>
      <c r="F606" s="444">
        <v>3400000</v>
      </c>
      <c r="G606" s="191"/>
      <c r="H606" s="191"/>
      <c r="I606" s="191"/>
      <c r="J606" s="191"/>
      <c r="K606" s="191"/>
    </row>
    <row r="607" spans="1:11" ht="14.65" thickBot="1">
      <c r="A607" s="444" t="s">
        <v>82</v>
      </c>
      <c r="B607" s="444"/>
      <c r="C607" s="444"/>
      <c r="D607" s="444"/>
      <c r="E607" s="444">
        <v>900000</v>
      </c>
      <c r="F607" s="444">
        <v>900000</v>
      </c>
      <c r="G607" s="191"/>
      <c r="H607" s="191"/>
      <c r="I607" s="191"/>
      <c r="J607" s="191"/>
      <c r="K607" s="191"/>
    </row>
    <row r="608" spans="1:11" ht="14.65" thickBot="1">
      <c r="A608" s="311" t="s">
        <v>334</v>
      </c>
      <c r="B608" s="304"/>
      <c r="C608" s="304"/>
      <c r="D608" s="304">
        <v>5400000</v>
      </c>
      <c r="E608" s="304">
        <v>3960000</v>
      </c>
      <c r="F608" s="305">
        <v>9360000</v>
      </c>
      <c r="G608" s="191"/>
      <c r="H608" s="191"/>
      <c r="I608" s="191"/>
      <c r="J608" s="191"/>
      <c r="K608" s="191"/>
    </row>
    <row r="609" spans="1:11">
      <c r="A609" s="312"/>
      <c r="B609" s="312"/>
      <c r="C609" s="312"/>
      <c r="D609" s="312"/>
      <c r="E609" s="312"/>
      <c r="F609" s="312"/>
      <c r="G609" s="191"/>
      <c r="H609" s="191"/>
      <c r="I609" s="191"/>
      <c r="J609" s="191"/>
      <c r="K609" s="191"/>
    </row>
    <row r="610" spans="1:11">
      <c r="A610" s="312" t="s">
        <v>335</v>
      </c>
      <c r="B610" s="312"/>
      <c r="C610" s="312"/>
      <c r="D610" s="312"/>
      <c r="E610" s="312"/>
      <c r="F610" s="312"/>
      <c r="G610" s="191"/>
      <c r="H610" s="191"/>
      <c r="I610" s="191"/>
      <c r="J610" s="191"/>
      <c r="K610" s="191"/>
    </row>
    <row r="611" spans="1:11">
      <c r="A611" s="313" t="s">
        <v>86</v>
      </c>
      <c r="B611" s="302"/>
      <c r="C611" s="302"/>
      <c r="D611" s="302"/>
      <c r="E611" s="302"/>
      <c r="F611" s="302">
        <v>1300000</v>
      </c>
      <c r="G611" s="191"/>
      <c r="H611" s="191"/>
      <c r="I611" s="191"/>
      <c r="J611" s="191"/>
      <c r="K611" s="191"/>
    </row>
    <row r="612" spans="1:11">
      <c r="A612" s="444" t="s">
        <v>336</v>
      </c>
      <c r="B612" s="444"/>
      <c r="C612" s="444"/>
      <c r="D612" s="444"/>
      <c r="E612" s="444"/>
      <c r="F612" s="444">
        <v>200000</v>
      </c>
      <c r="G612" s="191"/>
      <c r="H612" s="191"/>
      <c r="I612" s="191"/>
      <c r="J612" s="191"/>
      <c r="K612" s="191"/>
    </row>
    <row r="613" spans="1:11">
      <c r="A613" s="444" t="s">
        <v>337</v>
      </c>
      <c r="B613" s="444"/>
      <c r="C613" s="444"/>
      <c r="D613" s="444"/>
      <c r="E613" s="444"/>
      <c r="F613" s="444">
        <v>539000</v>
      </c>
      <c r="G613" s="191"/>
      <c r="H613" s="191"/>
      <c r="I613" s="191"/>
      <c r="J613" s="191"/>
      <c r="K613" s="191"/>
    </row>
    <row r="614" spans="1:11">
      <c r="A614" s="444" t="s">
        <v>338</v>
      </c>
      <c r="B614" s="444"/>
      <c r="C614" s="444"/>
      <c r="D614" s="444"/>
      <c r="E614" s="444"/>
      <c r="F614" s="444">
        <v>300000</v>
      </c>
      <c r="G614" s="191"/>
      <c r="H614" s="191"/>
      <c r="I614" s="191"/>
      <c r="J614" s="191"/>
      <c r="K614" s="191"/>
    </row>
    <row r="615" spans="1:11">
      <c r="A615" s="315" t="s">
        <v>339</v>
      </c>
      <c r="B615" s="444"/>
      <c r="C615" s="444"/>
      <c r="D615" s="444"/>
      <c r="E615" s="444"/>
      <c r="F615" s="444">
        <v>75000</v>
      </c>
      <c r="G615" s="191"/>
      <c r="H615" s="191"/>
      <c r="I615" s="191"/>
      <c r="J615" s="191"/>
      <c r="K615" s="191"/>
    </row>
    <row r="616" spans="1:11">
      <c r="A616" s="444"/>
      <c r="B616" s="444"/>
      <c r="C616" s="444"/>
      <c r="D616" s="444"/>
      <c r="E616" s="444"/>
      <c r="F616" s="444"/>
      <c r="G616" s="191"/>
      <c r="H616" s="191"/>
      <c r="I616" s="191"/>
      <c r="J616" s="191"/>
      <c r="K616" s="191"/>
    </row>
    <row r="617" spans="1:11">
      <c r="A617" s="444" t="s">
        <v>340</v>
      </c>
      <c r="B617" s="444"/>
      <c r="C617" s="444"/>
      <c r="D617" s="444"/>
      <c r="E617" s="444"/>
      <c r="F617" s="444">
        <v>4056000</v>
      </c>
      <c r="G617" s="191"/>
      <c r="H617" s="191"/>
      <c r="I617" s="191"/>
      <c r="J617" s="191"/>
      <c r="K617" s="191"/>
    </row>
    <row r="618" spans="1:11">
      <c r="A618" s="444" t="s">
        <v>341</v>
      </c>
      <c r="B618" s="444"/>
      <c r="C618" s="444"/>
      <c r="D618" s="444"/>
      <c r="E618" s="444"/>
      <c r="F618" s="444">
        <v>500000</v>
      </c>
      <c r="G618" s="191"/>
      <c r="H618" s="191"/>
      <c r="I618" s="191"/>
      <c r="J618" s="191"/>
      <c r="K618" s="191"/>
    </row>
    <row r="619" spans="1:11">
      <c r="A619" s="444" t="s">
        <v>342</v>
      </c>
      <c r="B619" s="444"/>
      <c r="C619" s="444"/>
      <c r="D619" s="444"/>
      <c r="E619" s="444"/>
      <c r="F619" s="318">
        <v>3556000</v>
      </c>
      <c r="G619" s="191"/>
      <c r="H619" s="191"/>
      <c r="I619" s="191"/>
      <c r="J619" s="191"/>
      <c r="K619" s="191"/>
    </row>
    <row r="620" spans="1:11">
      <c r="A620" s="444" t="s">
        <v>343</v>
      </c>
      <c r="B620" s="444"/>
      <c r="C620" s="444"/>
      <c r="D620" s="444"/>
      <c r="E620" s="444"/>
      <c r="F620" s="318">
        <v>436250</v>
      </c>
      <c r="G620" s="191"/>
      <c r="H620" s="191"/>
      <c r="I620" s="191"/>
      <c r="J620" s="191"/>
      <c r="K620" s="191"/>
    </row>
    <row r="621" spans="1:11" ht="14.65" thickBot="1">
      <c r="A621" s="444"/>
      <c r="B621" s="444"/>
      <c r="C621" s="444"/>
      <c r="D621" s="444"/>
      <c r="E621" s="444"/>
      <c r="F621" s="444"/>
      <c r="G621" s="191"/>
      <c r="H621" s="191"/>
      <c r="I621" s="191"/>
      <c r="J621" s="191"/>
      <c r="K621" s="191"/>
    </row>
    <row r="622" spans="1:11" ht="14.65" thickBot="1">
      <c r="A622" s="311" t="s">
        <v>92</v>
      </c>
      <c r="B622" s="304"/>
      <c r="C622" s="304"/>
      <c r="D622" s="304"/>
      <c r="E622" s="304"/>
      <c r="F622" s="305">
        <v>3119750</v>
      </c>
      <c r="G622" s="191"/>
      <c r="H622" s="191"/>
      <c r="I622" s="191"/>
      <c r="J622" s="191"/>
      <c r="K622" s="191"/>
    </row>
    <row r="623" spans="1:11">
      <c r="A623" s="191"/>
      <c r="B623" s="191"/>
      <c r="C623" s="191"/>
      <c r="D623" s="191"/>
      <c r="E623" s="191"/>
      <c r="F623" s="191"/>
      <c r="G623" s="191"/>
      <c r="H623" s="191"/>
      <c r="I623" s="191"/>
      <c r="J623" s="191"/>
      <c r="K623" s="191"/>
    </row>
    <row r="624" spans="1:11" ht="15.75">
      <c r="A624" s="1031" t="s">
        <v>531</v>
      </c>
      <c r="B624" s="1032"/>
      <c r="C624" s="1032"/>
      <c r="D624" s="1032"/>
      <c r="E624" s="1032"/>
      <c r="F624" s="1032"/>
      <c r="G624" s="1032"/>
      <c r="H624" s="1032"/>
      <c r="I624" s="1032"/>
      <c r="J624" s="1032"/>
      <c r="K624" s="1032"/>
    </row>
    <row r="625" spans="1:11" ht="15.75">
      <c r="A625" s="1031" t="s">
        <v>530</v>
      </c>
      <c r="B625" s="1032"/>
      <c r="C625" s="1032"/>
      <c r="D625" s="1032"/>
      <c r="E625" s="1032"/>
      <c r="F625" s="1032"/>
      <c r="G625" s="1032"/>
      <c r="H625" s="1032"/>
      <c r="I625" s="1032"/>
      <c r="J625" s="1032"/>
      <c r="K625" s="1032"/>
    </row>
    <row r="626" spans="1:11" ht="15.75">
      <c r="A626" s="1056" t="s">
        <v>532</v>
      </c>
      <c r="B626" s="1056"/>
      <c r="C626" s="1056"/>
      <c r="D626" s="1056"/>
      <c r="E626" s="1056"/>
      <c r="F626" s="1056"/>
      <c r="G626" s="1056"/>
      <c r="H626" s="1056"/>
      <c r="I626" s="1056"/>
      <c r="J626" s="1056"/>
      <c r="K626" s="1056"/>
    </row>
    <row r="627" spans="1:11" ht="15.75">
      <c r="A627" s="1053" t="s">
        <v>533</v>
      </c>
      <c r="B627" s="1054"/>
      <c r="C627" s="1054"/>
      <c r="D627" s="1054"/>
      <c r="E627" s="1054"/>
      <c r="F627" s="1054"/>
      <c r="G627" s="1054"/>
      <c r="H627" s="1054"/>
      <c r="I627" s="1054"/>
      <c r="J627" s="1054"/>
      <c r="K627" s="1055"/>
    </row>
    <row r="628" spans="1:11" ht="15.75">
      <c r="A628" s="1053" t="s">
        <v>534</v>
      </c>
      <c r="B628" s="1054"/>
      <c r="C628" s="1054"/>
      <c r="D628" s="1054"/>
      <c r="E628" s="1054"/>
      <c r="F628" s="1054"/>
      <c r="G628" s="1054"/>
      <c r="H628" s="1054"/>
      <c r="I628" s="1054"/>
      <c r="J628" s="1054"/>
      <c r="K628" s="1055"/>
    </row>
    <row r="629" spans="1:11" ht="15.75">
      <c r="A629" s="1053" t="s">
        <v>535</v>
      </c>
      <c r="B629" s="1054"/>
      <c r="C629" s="1054"/>
      <c r="D629" s="1054"/>
      <c r="E629" s="1054"/>
      <c r="F629" s="1054"/>
      <c r="G629" s="1054"/>
      <c r="H629" s="1054"/>
      <c r="I629" s="1054"/>
      <c r="J629" s="1054"/>
      <c r="K629" s="1055"/>
    </row>
    <row r="631" spans="1:11" s="2" customFormat="1">
      <c r="A631" s="164">
        <v>16</v>
      </c>
    </row>
    <row r="633" spans="1:11" ht="23.25">
      <c r="A633" s="285" t="s">
        <v>569</v>
      </c>
      <c r="B633" s="286"/>
      <c r="C633" s="284"/>
      <c r="D633" s="284"/>
      <c r="E633" s="284"/>
      <c r="F633" s="284"/>
      <c r="G633" s="284"/>
      <c r="H633" s="284"/>
      <c r="I633" s="284"/>
      <c r="J633" s="284"/>
      <c r="K633" s="284"/>
    </row>
    <row r="634" spans="1:11" ht="23.25">
      <c r="A634" s="285" t="s">
        <v>145</v>
      </c>
      <c r="B634" s="285"/>
      <c r="C634" s="287"/>
      <c r="D634" s="287"/>
      <c r="E634" s="287"/>
      <c r="F634" s="287"/>
      <c r="G634" s="287"/>
      <c r="H634" s="284"/>
      <c r="I634" s="284"/>
      <c r="J634" s="284"/>
      <c r="K634" s="284"/>
    </row>
    <row r="635" spans="1:11">
      <c r="A635" s="992" t="s">
        <v>570</v>
      </c>
      <c r="B635" s="992"/>
      <c r="C635" s="992"/>
      <c r="D635" s="992"/>
      <c r="E635" s="992"/>
      <c r="F635" s="992"/>
      <c r="G635" s="992"/>
      <c r="H635" s="191"/>
      <c r="I635" s="191"/>
      <c r="J635" s="191"/>
      <c r="K635" s="191"/>
    </row>
    <row r="636" spans="1:11">
      <c r="A636" s="992"/>
      <c r="B636" s="992"/>
      <c r="C636" s="992"/>
      <c r="D636" s="992"/>
      <c r="E636" s="992"/>
      <c r="F636" s="992"/>
      <c r="G636" s="992"/>
      <c r="H636" s="191"/>
      <c r="I636" s="191"/>
      <c r="J636" s="191"/>
      <c r="K636" s="191"/>
    </row>
    <row r="637" spans="1:11" ht="18">
      <c r="A637" s="307"/>
      <c r="B637" s="307"/>
      <c r="C637" s="307"/>
      <c r="D637" s="464">
        <v>2022</v>
      </c>
      <c r="E637" s="464">
        <v>2023</v>
      </c>
      <c r="F637" s="165"/>
      <c r="G637" s="165"/>
      <c r="H637" s="191"/>
      <c r="I637" s="191"/>
      <c r="J637" s="191"/>
      <c r="K637" s="191"/>
    </row>
    <row r="638" spans="1:11">
      <c r="A638" s="191"/>
      <c r="B638" s="191"/>
      <c r="C638" s="191"/>
      <c r="D638" s="465">
        <v>45291</v>
      </c>
      <c r="E638" s="465">
        <v>45291</v>
      </c>
      <c r="F638" s="191"/>
      <c r="G638" s="191"/>
      <c r="H638" s="191"/>
      <c r="I638" s="191"/>
      <c r="J638" s="191"/>
      <c r="K638" s="191"/>
    </row>
    <row r="639" spans="1:11">
      <c r="A639" s="466" t="s">
        <v>8</v>
      </c>
      <c r="B639" s="467"/>
      <c r="C639" s="468"/>
      <c r="D639" s="469">
        <v>167000</v>
      </c>
      <c r="E639" s="469">
        <v>150000</v>
      </c>
      <c r="F639" s="165"/>
      <c r="G639" s="165"/>
      <c r="H639" s="191"/>
      <c r="I639" s="191"/>
      <c r="J639" s="191"/>
      <c r="K639" s="191"/>
    </row>
    <row r="640" spans="1:11">
      <c r="A640" s="470" t="s">
        <v>217</v>
      </c>
      <c r="B640" s="191"/>
      <c r="C640" s="471"/>
      <c r="D640" s="472">
        <v>20800</v>
      </c>
      <c r="E640" s="472">
        <v>31200</v>
      </c>
      <c r="F640" s="191"/>
      <c r="G640" s="191"/>
      <c r="H640" s="191"/>
      <c r="I640" s="191"/>
      <c r="J640" s="191"/>
      <c r="K640" s="191"/>
    </row>
    <row r="641" spans="1:11">
      <c r="A641" s="470" t="s">
        <v>284</v>
      </c>
      <c r="B641" s="307"/>
      <c r="C641" s="473"/>
      <c r="D641" s="474">
        <v>42000</v>
      </c>
      <c r="E641" s="474">
        <v>65500</v>
      </c>
      <c r="F641" s="165"/>
      <c r="G641" s="165"/>
      <c r="H641" s="191"/>
      <c r="I641" s="191"/>
      <c r="J641" s="191"/>
      <c r="K641" s="191"/>
    </row>
    <row r="642" spans="1:11">
      <c r="A642" s="475"/>
      <c r="B642" s="191"/>
      <c r="C642" s="471"/>
      <c r="D642" s="472"/>
      <c r="E642" s="472"/>
      <c r="F642" s="191"/>
      <c r="G642" s="191"/>
      <c r="H642" s="191"/>
      <c r="I642" s="191"/>
      <c r="J642" s="191"/>
      <c r="K642" s="191"/>
    </row>
    <row r="643" spans="1:11">
      <c r="A643" s="470" t="s">
        <v>571</v>
      </c>
      <c r="B643" s="307"/>
      <c r="C643" s="473"/>
      <c r="D643" s="474">
        <v>368000</v>
      </c>
      <c r="E643" s="474">
        <v>312000</v>
      </c>
      <c r="F643" s="165"/>
      <c r="G643" s="165"/>
      <c r="H643" s="191"/>
      <c r="I643" s="191"/>
      <c r="J643" s="191"/>
      <c r="K643" s="191"/>
    </row>
    <row r="644" spans="1:11">
      <c r="A644" s="475" t="s">
        <v>572</v>
      </c>
      <c r="B644" s="191"/>
      <c r="C644" s="471"/>
      <c r="D644" s="472">
        <v>1500000</v>
      </c>
      <c r="E644" s="472">
        <v>1500000</v>
      </c>
      <c r="F644" s="191"/>
      <c r="G644" s="191"/>
      <c r="H644" s="191"/>
      <c r="I644" s="191"/>
      <c r="J644" s="191"/>
      <c r="K644" s="191"/>
    </row>
    <row r="645" spans="1:11">
      <c r="A645" s="476"/>
      <c r="B645" s="307"/>
      <c r="C645" s="473"/>
      <c r="D645" s="474"/>
      <c r="E645" s="474"/>
      <c r="F645" s="165"/>
      <c r="G645" s="165"/>
      <c r="H645" s="191"/>
      <c r="I645" s="191"/>
      <c r="J645" s="191"/>
      <c r="K645" s="191"/>
    </row>
    <row r="646" spans="1:11" ht="15.75">
      <c r="A646" s="477" t="s">
        <v>573</v>
      </c>
      <c r="B646" s="191"/>
      <c r="C646" s="471"/>
      <c r="D646" s="478">
        <v>2097800</v>
      </c>
      <c r="E646" s="478">
        <v>2055700</v>
      </c>
      <c r="F646" s="191"/>
      <c r="G646" s="191"/>
      <c r="H646" s="191"/>
      <c r="I646" s="191"/>
      <c r="J646" s="191"/>
      <c r="K646" s="191"/>
    </row>
    <row r="647" spans="1:11">
      <c r="A647" s="476"/>
      <c r="B647" s="307"/>
      <c r="C647" s="473"/>
      <c r="D647" s="474"/>
      <c r="E647" s="474"/>
      <c r="F647" s="165"/>
      <c r="G647" s="165"/>
      <c r="H647" s="191"/>
      <c r="I647" s="191"/>
      <c r="J647" s="191"/>
      <c r="K647" s="191"/>
    </row>
    <row r="648" spans="1:11">
      <c r="A648" s="475" t="s">
        <v>574</v>
      </c>
      <c r="B648" s="191"/>
      <c r="C648" s="471"/>
      <c r="D648" s="472">
        <v>73400</v>
      </c>
      <c r="E648" s="472">
        <v>52300</v>
      </c>
      <c r="F648" s="191"/>
      <c r="G648" s="191"/>
      <c r="H648" s="191"/>
      <c r="I648" s="191"/>
      <c r="J648" s="191"/>
      <c r="K648" s="191"/>
    </row>
    <row r="649" spans="1:11">
      <c r="A649" s="470" t="s">
        <v>575</v>
      </c>
      <c r="B649" s="307"/>
      <c r="C649" s="473"/>
      <c r="D649" s="474">
        <v>60000</v>
      </c>
      <c r="E649" s="474">
        <v>60000</v>
      </c>
      <c r="F649" s="165"/>
      <c r="G649" s="165"/>
      <c r="H649" s="191"/>
      <c r="I649" s="191"/>
      <c r="J649" s="191"/>
      <c r="K649" s="191"/>
    </row>
    <row r="650" spans="1:11">
      <c r="A650" s="475" t="s">
        <v>17</v>
      </c>
      <c r="B650" s="191"/>
      <c r="C650" s="471"/>
      <c r="D650" s="472">
        <v>180000</v>
      </c>
      <c r="E650" s="472">
        <v>190000</v>
      </c>
      <c r="F650" s="191"/>
      <c r="G650" s="191"/>
      <c r="H650" s="191"/>
      <c r="I650" s="191"/>
      <c r="J650" s="191"/>
      <c r="K650" s="191"/>
    </row>
    <row r="651" spans="1:11">
      <c r="A651" s="476"/>
      <c r="B651" s="307"/>
      <c r="C651" s="473"/>
      <c r="D651" s="474"/>
      <c r="E651" s="474"/>
      <c r="F651" s="165"/>
      <c r="G651" s="165"/>
      <c r="H651" s="191"/>
      <c r="I651" s="191"/>
      <c r="J651" s="191"/>
      <c r="K651" s="191"/>
    </row>
    <row r="652" spans="1:11">
      <c r="A652" s="475" t="s">
        <v>576</v>
      </c>
      <c r="B652" s="191"/>
      <c r="C652" s="471"/>
      <c r="D652" s="472">
        <v>980000</v>
      </c>
      <c r="E652" s="472">
        <v>920000</v>
      </c>
      <c r="F652" s="191"/>
      <c r="G652" s="191"/>
      <c r="H652" s="191"/>
      <c r="I652" s="191"/>
      <c r="J652" s="191"/>
      <c r="K652" s="191"/>
    </row>
    <row r="653" spans="1:11">
      <c r="A653" s="476"/>
      <c r="B653" s="307"/>
      <c r="C653" s="473"/>
      <c r="D653" s="474"/>
      <c r="E653" s="474"/>
      <c r="F653" s="165"/>
      <c r="G653" s="165"/>
      <c r="H653" s="191"/>
      <c r="I653" s="191"/>
      <c r="J653" s="191"/>
      <c r="K653" s="191"/>
    </row>
    <row r="654" spans="1:11">
      <c r="A654" s="475" t="s">
        <v>577</v>
      </c>
      <c r="B654" s="191"/>
      <c r="C654" s="471"/>
      <c r="D654" s="472">
        <v>250000</v>
      </c>
      <c r="E654" s="472">
        <v>250000</v>
      </c>
      <c r="F654" s="191"/>
      <c r="G654" s="191"/>
      <c r="H654" s="191"/>
      <c r="I654" s="191"/>
      <c r="J654" s="191"/>
      <c r="K654" s="191"/>
    </row>
    <row r="655" spans="1:11">
      <c r="A655" s="470" t="s">
        <v>39</v>
      </c>
      <c r="B655" s="307"/>
      <c r="C655" s="473"/>
      <c r="D655" s="474">
        <v>554400</v>
      </c>
      <c r="E655" s="474">
        <v>583400</v>
      </c>
      <c r="F655" s="165"/>
      <c r="G655" s="165"/>
      <c r="H655" s="191"/>
      <c r="I655" s="191"/>
      <c r="J655" s="191"/>
      <c r="K655" s="191"/>
    </row>
    <row r="656" spans="1:11">
      <c r="A656" s="475"/>
      <c r="B656" s="191"/>
      <c r="C656" s="471"/>
      <c r="D656" s="472"/>
      <c r="E656" s="472"/>
      <c r="F656" s="191"/>
      <c r="G656" s="191"/>
      <c r="H656" s="191"/>
      <c r="I656" s="191"/>
      <c r="J656" s="191"/>
      <c r="K656" s="191"/>
    </row>
    <row r="657" spans="1:11" ht="15.75">
      <c r="A657" s="479" t="s">
        <v>578</v>
      </c>
      <c r="B657" s="480"/>
      <c r="C657" s="481"/>
      <c r="D657" s="482">
        <v>2097800</v>
      </c>
      <c r="E657" s="482">
        <v>2055700</v>
      </c>
      <c r="F657" s="165"/>
      <c r="G657" s="165"/>
      <c r="H657" s="191"/>
      <c r="I657" s="191"/>
      <c r="J657" s="191"/>
      <c r="K657" s="191"/>
    </row>
    <row r="658" spans="1:11">
      <c r="A658" s="191"/>
      <c r="B658" s="191"/>
      <c r="C658" s="191"/>
      <c r="D658" s="483"/>
      <c r="E658" s="483"/>
      <c r="F658" s="191"/>
      <c r="G658" s="191"/>
      <c r="H658" s="191"/>
      <c r="I658" s="191"/>
      <c r="J658" s="191"/>
      <c r="K658" s="191"/>
    </row>
    <row r="659" spans="1:11">
      <c r="A659" s="484"/>
      <c r="B659" s="484"/>
      <c r="C659" s="484"/>
      <c r="D659" s="10"/>
      <c r="E659" s="10"/>
      <c r="F659" s="10"/>
      <c r="G659" s="10"/>
      <c r="H659" s="10"/>
      <c r="I659" s="10"/>
      <c r="J659" s="10"/>
      <c r="K659" s="10"/>
    </row>
    <row r="660" spans="1:11">
      <c r="A660" s="484"/>
      <c r="B660" s="484"/>
      <c r="C660" s="484"/>
      <c r="D660" s="10"/>
      <c r="E660" s="10"/>
      <c r="F660" s="10"/>
      <c r="G660" s="10"/>
      <c r="H660" s="10"/>
      <c r="I660" s="10"/>
      <c r="J660" s="10"/>
      <c r="K660" s="10"/>
    </row>
    <row r="661" spans="1:11">
      <c r="A661" s="191"/>
      <c r="B661" s="191"/>
      <c r="C661" s="191"/>
      <c r="D661" s="306"/>
      <c r="E661" s="191"/>
      <c r="F661" s="191"/>
      <c r="G661" s="191"/>
      <c r="H661" s="191"/>
      <c r="I661" s="191"/>
      <c r="J661" s="191"/>
      <c r="K661" s="191"/>
    </row>
    <row r="662" spans="1:11" ht="46.9" thickBot="1">
      <c r="A662" s="285" t="s">
        <v>579</v>
      </c>
      <c r="B662" s="286"/>
      <c r="C662" s="191"/>
      <c r="D662" s="306"/>
      <c r="E662" s="191"/>
      <c r="F662" s="191"/>
      <c r="G662" s="191"/>
      <c r="H662" s="191"/>
      <c r="I662" s="191"/>
      <c r="J662" s="191"/>
      <c r="K662" s="191"/>
    </row>
    <row r="663" spans="1:11" ht="36">
      <c r="A663" s="1098" t="s">
        <v>580</v>
      </c>
      <c r="B663" s="1099"/>
      <c r="C663" s="1099"/>
      <c r="D663" s="1099"/>
      <c r="E663" s="1099"/>
      <c r="F663" s="1100"/>
      <c r="G663" s="191"/>
      <c r="H663" s="191"/>
      <c r="I663" s="191"/>
      <c r="J663" s="191"/>
      <c r="K663" s="191"/>
    </row>
    <row r="664" spans="1:11">
      <c r="A664" s="466" t="s">
        <v>581</v>
      </c>
      <c r="B664" s="467"/>
      <c r="C664" s="467"/>
      <c r="D664" s="485"/>
      <c r="E664" s="486">
        <v>1540000</v>
      </c>
      <c r="F664" s="487"/>
      <c r="G664" s="165"/>
      <c r="H664" s="191"/>
      <c r="I664" s="191"/>
      <c r="J664" s="191"/>
      <c r="K664" s="191"/>
    </row>
    <row r="665" spans="1:11">
      <c r="A665" s="475" t="s">
        <v>582</v>
      </c>
      <c r="B665" s="191"/>
      <c r="C665" s="191"/>
      <c r="D665" s="191"/>
      <c r="E665" s="483">
        <v>760000</v>
      </c>
      <c r="F665" s="488"/>
      <c r="G665" s="191"/>
      <c r="H665" s="191"/>
      <c r="I665" s="191"/>
      <c r="J665" s="191"/>
      <c r="K665" s="191"/>
    </row>
    <row r="666" spans="1:11" ht="15.75">
      <c r="A666" s="476"/>
      <c r="B666" s="307" t="s">
        <v>583</v>
      </c>
      <c r="C666" s="307"/>
      <c r="D666" s="165"/>
      <c r="E666" s="463"/>
      <c r="F666" s="489">
        <v>2300000</v>
      </c>
      <c r="G666" s="165"/>
      <c r="H666" s="191"/>
      <c r="I666" s="191"/>
      <c r="J666" s="191"/>
      <c r="K666" s="191"/>
    </row>
    <row r="667" spans="1:11" ht="15.75">
      <c r="A667" s="475" t="s">
        <v>584</v>
      </c>
      <c r="B667" s="191"/>
      <c r="C667" s="191"/>
      <c r="D667" s="191"/>
      <c r="E667" s="483"/>
      <c r="F667" s="490">
        <v>690400</v>
      </c>
      <c r="G667" s="191"/>
      <c r="H667" s="191"/>
      <c r="I667" s="191"/>
      <c r="J667" s="191"/>
      <c r="K667" s="191"/>
    </row>
    <row r="668" spans="1:11" ht="15.75">
      <c r="A668" s="470" t="s">
        <v>585</v>
      </c>
      <c r="B668" s="307"/>
      <c r="C668" s="307"/>
      <c r="D668" s="165"/>
      <c r="E668" s="463"/>
      <c r="F668" s="489">
        <v>734000</v>
      </c>
      <c r="G668" s="165"/>
      <c r="H668" s="191"/>
      <c r="I668" s="191"/>
      <c r="J668" s="191"/>
      <c r="K668" s="191"/>
    </row>
    <row r="669" spans="1:11" ht="15.75">
      <c r="A669" s="475" t="s">
        <v>586</v>
      </c>
      <c r="B669" s="191"/>
      <c r="C669" s="191"/>
      <c r="D669" s="191"/>
      <c r="E669" s="483"/>
      <c r="F669" s="490">
        <v>478600</v>
      </c>
      <c r="G669" s="191"/>
      <c r="H669" s="191"/>
      <c r="I669" s="191"/>
      <c r="J669" s="191"/>
      <c r="K669" s="191"/>
    </row>
    <row r="670" spans="1:11" ht="15.75">
      <c r="A670" s="476"/>
      <c r="B670" s="307"/>
      <c r="C670" s="307"/>
      <c r="D670" s="165"/>
      <c r="E670" s="463"/>
      <c r="F670" s="489"/>
      <c r="G670" s="165"/>
      <c r="H670" s="191"/>
      <c r="I670" s="191"/>
      <c r="J670" s="191"/>
      <c r="K670" s="191"/>
    </row>
    <row r="671" spans="1:11" ht="15.75">
      <c r="A671" s="475" t="s">
        <v>27</v>
      </c>
      <c r="B671" s="191"/>
      <c r="C671" s="191"/>
      <c r="D671" s="191"/>
      <c r="E671" s="483"/>
      <c r="F671" s="490">
        <v>56000</v>
      </c>
      <c r="G671" s="191"/>
      <c r="H671" s="191"/>
      <c r="I671" s="191"/>
      <c r="J671" s="191"/>
      <c r="K671" s="191"/>
    </row>
    <row r="672" spans="1:11" ht="15.75">
      <c r="A672" s="470" t="s">
        <v>90</v>
      </c>
      <c r="B672" s="307"/>
      <c r="C672" s="307"/>
      <c r="D672" s="165"/>
      <c r="E672" s="165"/>
      <c r="F672" s="489">
        <v>49000</v>
      </c>
      <c r="G672" s="165"/>
      <c r="H672" s="191"/>
      <c r="I672" s="191"/>
      <c r="J672" s="191"/>
      <c r="K672" s="191"/>
    </row>
    <row r="673" spans="1:11" ht="15.75">
      <c r="A673" s="475"/>
      <c r="B673" s="191"/>
      <c r="C673" s="191"/>
      <c r="D673" s="191"/>
      <c r="E673" s="191"/>
      <c r="F673" s="491"/>
      <c r="G673" s="191"/>
      <c r="H673" s="191"/>
      <c r="I673" s="191"/>
      <c r="J673" s="191"/>
      <c r="K673" s="191"/>
    </row>
    <row r="674" spans="1:11" ht="15.75">
      <c r="A674" s="470" t="s">
        <v>587</v>
      </c>
      <c r="B674" s="307"/>
      <c r="C674" s="307"/>
      <c r="D674" s="165"/>
      <c r="E674" s="165"/>
      <c r="F674" s="489">
        <v>292000</v>
      </c>
      <c r="G674" s="165"/>
      <c r="H674" s="191"/>
      <c r="I674" s="191"/>
      <c r="J674" s="191"/>
      <c r="K674" s="191"/>
    </row>
    <row r="675" spans="1:11" ht="15.75">
      <c r="A675" s="475" t="s">
        <v>438</v>
      </c>
      <c r="B675" s="191"/>
      <c r="C675" s="191"/>
      <c r="D675" s="191"/>
      <c r="E675" s="191"/>
      <c r="F675" s="490">
        <v>73000</v>
      </c>
      <c r="G675" s="191"/>
      <c r="H675" s="191"/>
      <c r="I675" s="191"/>
      <c r="J675" s="191"/>
      <c r="K675" s="191"/>
    </row>
    <row r="676" spans="1:11" ht="15.75">
      <c r="A676" s="476"/>
      <c r="B676" s="307"/>
      <c r="C676" s="307"/>
      <c r="D676" s="165"/>
      <c r="E676" s="165"/>
      <c r="F676" s="492"/>
      <c r="G676" s="165"/>
      <c r="H676" s="191"/>
      <c r="I676" s="191"/>
      <c r="J676" s="191"/>
      <c r="K676" s="191"/>
    </row>
    <row r="677" spans="1:11" ht="15.75">
      <c r="A677" s="493" t="s">
        <v>43</v>
      </c>
      <c r="B677" s="111"/>
      <c r="C677" s="111"/>
      <c r="D677" s="111"/>
      <c r="E677" s="111"/>
      <c r="F677" s="494">
        <v>219000</v>
      </c>
      <c r="G677" s="191"/>
      <c r="H677" s="191"/>
      <c r="I677" s="191"/>
      <c r="J677" s="191"/>
      <c r="K677" s="191"/>
    </row>
    <row r="678" spans="1:11">
      <c r="A678" s="288"/>
      <c r="B678" s="288"/>
      <c r="C678" s="288"/>
      <c r="D678" s="165"/>
      <c r="E678" s="165"/>
      <c r="F678" s="165"/>
      <c r="G678" s="165"/>
      <c r="H678" s="191"/>
      <c r="I678" s="191"/>
      <c r="J678" s="191"/>
      <c r="K678" s="191"/>
    </row>
    <row r="679" spans="1:11" ht="15.75">
      <c r="A679" s="79" t="s">
        <v>588</v>
      </c>
      <c r="B679" s="79"/>
      <c r="C679" s="79"/>
      <c r="D679" s="495"/>
      <c r="E679" s="79"/>
      <c r="F679" s="191"/>
      <c r="G679" s="191"/>
      <c r="H679" s="191"/>
      <c r="I679" s="191"/>
      <c r="J679" s="191"/>
      <c r="K679" s="191"/>
    </row>
    <row r="680" spans="1:11" ht="15.75">
      <c r="A680" s="79" t="s">
        <v>589</v>
      </c>
      <c r="B680" s="288"/>
      <c r="C680" s="288"/>
      <c r="D680" s="496"/>
      <c r="E680" s="496"/>
      <c r="F680" s="165"/>
      <c r="G680" s="165"/>
      <c r="H680" s="191"/>
      <c r="I680" s="191"/>
      <c r="J680" s="191"/>
      <c r="K680" s="191"/>
    </row>
    <row r="681" spans="1:11" ht="15.75">
      <c r="A681" s="79" t="s">
        <v>590</v>
      </c>
      <c r="B681" s="79"/>
      <c r="C681" s="79"/>
      <c r="D681" s="495"/>
      <c r="E681" s="79"/>
      <c r="F681" s="191"/>
      <c r="G681" s="191"/>
      <c r="H681" s="191"/>
      <c r="I681" s="191"/>
      <c r="J681" s="191"/>
      <c r="K681" s="191"/>
    </row>
    <row r="682" spans="1:11" ht="15.75">
      <c r="A682" s="79" t="s">
        <v>591</v>
      </c>
      <c r="B682" s="312"/>
      <c r="C682" s="312"/>
      <c r="D682" s="312"/>
      <c r="E682" s="312"/>
      <c r="F682" s="444"/>
      <c r="G682" s="191"/>
      <c r="H682" s="191"/>
      <c r="I682" s="191"/>
      <c r="J682" s="191"/>
      <c r="K682" s="191"/>
    </row>
    <row r="683" spans="1:11" ht="15.75">
      <c r="A683" s="79"/>
      <c r="B683" s="79"/>
      <c r="C683" s="79"/>
      <c r="D683" s="495"/>
      <c r="E683" s="79"/>
      <c r="F683" s="191"/>
      <c r="G683" s="191"/>
      <c r="H683" s="191"/>
      <c r="I683" s="191"/>
      <c r="J683" s="191"/>
      <c r="K683" s="191"/>
    </row>
    <row r="684" spans="1:11">
      <c r="A684" s="191"/>
      <c r="B684" s="191"/>
      <c r="C684" s="191"/>
      <c r="D684" s="191"/>
      <c r="E684" s="191"/>
      <c r="F684" s="191"/>
      <c r="G684" s="191"/>
      <c r="H684" s="191"/>
      <c r="I684" s="191"/>
      <c r="J684" s="191"/>
      <c r="K684" s="191"/>
    </row>
    <row r="685" spans="1:11" ht="15.75">
      <c r="A685" s="1101" t="s">
        <v>627</v>
      </c>
      <c r="B685" s="1102"/>
      <c r="C685" s="1102"/>
      <c r="D685" s="1102"/>
      <c r="E685" s="1102"/>
      <c r="F685" s="1102"/>
      <c r="G685" s="1102"/>
      <c r="H685" s="1102"/>
      <c r="I685" s="1102"/>
      <c r="J685" s="1102"/>
      <c r="K685" s="1103"/>
    </row>
    <row r="686" spans="1:11" ht="15.75">
      <c r="A686" s="1101" t="s">
        <v>592</v>
      </c>
      <c r="B686" s="1102"/>
      <c r="C686" s="1102"/>
      <c r="D686" s="1102"/>
      <c r="E686" s="1102"/>
      <c r="F686" s="1102"/>
      <c r="G686" s="1102"/>
      <c r="H686" s="1102"/>
      <c r="I686" s="1102"/>
      <c r="J686" s="1102"/>
      <c r="K686" s="1103"/>
    </row>
    <row r="687" spans="1:11" ht="15.75">
      <c r="A687" s="1053" t="s">
        <v>593</v>
      </c>
      <c r="B687" s="1054"/>
      <c r="C687" s="1054"/>
      <c r="D687" s="1054"/>
      <c r="E687" s="1054"/>
      <c r="F687" s="1054"/>
      <c r="G687" s="1054"/>
      <c r="H687" s="1054"/>
      <c r="I687" s="1054"/>
      <c r="J687" s="1054"/>
      <c r="K687" s="1055"/>
    </row>
    <row r="688" spans="1:11" ht="15.75">
      <c r="A688" s="1053" t="s">
        <v>594</v>
      </c>
      <c r="B688" s="1054"/>
      <c r="C688" s="1054"/>
      <c r="D688" s="1054"/>
      <c r="E688" s="1054"/>
      <c r="F688" s="1054"/>
      <c r="G688" s="1054"/>
      <c r="H688" s="1054"/>
      <c r="I688" s="1054"/>
      <c r="J688" s="1054"/>
      <c r="K688" s="1055"/>
    </row>
    <row r="689" spans="1:12" ht="15.75">
      <c r="A689" s="1053" t="s">
        <v>626</v>
      </c>
      <c r="B689" s="1054"/>
      <c r="C689" s="1054"/>
      <c r="D689" s="1054"/>
      <c r="E689" s="1054"/>
      <c r="F689" s="1054"/>
      <c r="G689" s="1054"/>
      <c r="H689" s="1054"/>
      <c r="I689" s="1054"/>
      <c r="J689" s="1054"/>
      <c r="K689" s="1055"/>
    </row>
    <row r="691" spans="1:12" s="2" customFormat="1">
      <c r="A691" s="164">
        <v>17</v>
      </c>
    </row>
    <row r="693" spans="1:12" ht="18">
      <c r="A693" s="552" t="s">
        <v>647</v>
      </c>
      <c r="B693" s="561"/>
      <c r="C693" s="562"/>
      <c r="D693" s="562"/>
      <c r="E693" s="562"/>
      <c r="F693" s="562"/>
      <c r="G693" s="562"/>
      <c r="H693" s="562"/>
      <c r="I693" s="562"/>
      <c r="J693" s="562"/>
      <c r="K693" s="562"/>
      <c r="L693" s="562"/>
    </row>
    <row r="694" spans="1:12" ht="18">
      <c r="A694" s="1106" t="s">
        <v>636</v>
      </c>
      <c r="B694" s="1106"/>
      <c r="C694" s="1106"/>
      <c r="D694" s="1106"/>
      <c r="E694" s="1106"/>
      <c r="F694" s="1106"/>
      <c r="G694" s="1106"/>
      <c r="H694" s="399"/>
      <c r="I694" s="399"/>
      <c r="J694" s="399"/>
      <c r="K694" s="399"/>
      <c r="L694" s="562"/>
    </row>
    <row r="695" spans="1:12" ht="18">
      <c r="A695" s="1106"/>
      <c r="B695" s="1106"/>
      <c r="C695" s="1106"/>
      <c r="D695" s="1106"/>
      <c r="E695" s="1106"/>
      <c r="F695" s="1106"/>
      <c r="G695" s="1106"/>
      <c r="H695" s="399"/>
      <c r="I695" s="399"/>
      <c r="J695" s="399"/>
      <c r="K695" s="399"/>
      <c r="L695" s="562"/>
    </row>
    <row r="696" spans="1:12" ht="18">
      <c r="A696" s="563"/>
      <c r="B696" s="563"/>
      <c r="C696" s="563"/>
      <c r="D696" s="464">
        <v>2022</v>
      </c>
      <c r="E696" s="464">
        <v>2023</v>
      </c>
      <c r="F696" s="554"/>
      <c r="G696" s="554"/>
      <c r="H696" s="399"/>
      <c r="I696" s="399"/>
      <c r="J696" s="399"/>
      <c r="K696" s="399"/>
      <c r="L696" s="562"/>
    </row>
    <row r="697" spans="1:12" ht="18">
      <c r="A697" s="399"/>
      <c r="B697" s="399"/>
      <c r="C697" s="399"/>
      <c r="D697" s="564">
        <v>45291</v>
      </c>
      <c r="E697" s="564">
        <v>45291</v>
      </c>
      <c r="F697" s="399"/>
      <c r="G697" s="399"/>
      <c r="H697" s="399"/>
      <c r="I697" s="399"/>
      <c r="J697" s="399"/>
      <c r="K697" s="399"/>
      <c r="L697" s="399"/>
    </row>
    <row r="698" spans="1:12" ht="18">
      <c r="A698" s="565" t="s">
        <v>8</v>
      </c>
      <c r="B698" s="566"/>
      <c r="C698" s="567"/>
      <c r="D698" s="568">
        <v>267000</v>
      </c>
      <c r="E698" s="568">
        <v>160000</v>
      </c>
      <c r="F698" s="554"/>
      <c r="G698" s="554"/>
      <c r="H698" s="399"/>
      <c r="I698" s="399"/>
      <c r="J698" s="399"/>
      <c r="K698" s="399"/>
      <c r="L698" s="562"/>
    </row>
    <row r="699" spans="1:12" ht="18">
      <c r="A699" s="569" t="s">
        <v>217</v>
      </c>
      <c r="B699" s="399"/>
      <c r="C699" s="570"/>
      <c r="D699" s="571">
        <v>21000</v>
      </c>
      <c r="E699" s="571">
        <v>80000</v>
      </c>
      <c r="F699" s="399"/>
      <c r="G699" s="399"/>
      <c r="H699" s="399"/>
      <c r="I699" s="399"/>
      <c r="J699" s="399"/>
      <c r="K699" s="399"/>
      <c r="L699" s="399"/>
    </row>
    <row r="700" spans="1:12" ht="18">
      <c r="A700" s="569" t="s">
        <v>284</v>
      </c>
      <c r="B700" s="563"/>
      <c r="C700" s="572"/>
      <c r="D700" s="573">
        <v>72000</v>
      </c>
      <c r="E700" s="573">
        <v>120000</v>
      </c>
      <c r="F700" s="554"/>
      <c r="G700" s="554"/>
      <c r="H700" s="399"/>
      <c r="I700" s="399"/>
      <c r="J700" s="399"/>
      <c r="K700" s="399"/>
      <c r="L700" s="562"/>
    </row>
    <row r="701" spans="1:12" ht="18">
      <c r="A701" s="574"/>
      <c r="B701" s="399"/>
      <c r="C701" s="570"/>
      <c r="D701" s="571"/>
      <c r="E701" s="571"/>
      <c r="F701" s="399"/>
      <c r="G701" s="399"/>
      <c r="H701" s="399"/>
      <c r="I701" s="399"/>
      <c r="J701" s="399"/>
      <c r="K701" s="399"/>
      <c r="L701" s="399"/>
    </row>
    <row r="702" spans="1:12" ht="18">
      <c r="A702" s="569" t="s">
        <v>571</v>
      </c>
      <c r="B702" s="563"/>
      <c r="C702" s="572"/>
      <c r="D702" s="573">
        <v>450000</v>
      </c>
      <c r="E702" s="573">
        <v>461280</v>
      </c>
      <c r="F702" s="554"/>
      <c r="G702" s="554"/>
      <c r="H702" s="399"/>
      <c r="I702" s="399"/>
      <c r="J702" s="399"/>
      <c r="K702" s="399"/>
      <c r="L702" s="562"/>
    </row>
    <row r="703" spans="1:12" ht="18">
      <c r="A703" s="574" t="s">
        <v>572</v>
      </c>
      <c r="B703" s="399"/>
      <c r="C703" s="570"/>
      <c r="D703" s="571">
        <v>2000000</v>
      </c>
      <c r="E703" s="571">
        <v>2000000</v>
      </c>
      <c r="F703" s="399"/>
      <c r="G703" s="399"/>
      <c r="H703" s="399"/>
      <c r="I703" s="399"/>
      <c r="J703" s="399"/>
      <c r="K703" s="399"/>
      <c r="L703" s="399"/>
    </row>
    <row r="704" spans="1:12" ht="18">
      <c r="A704" s="575"/>
      <c r="B704" s="563"/>
      <c r="C704" s="572"/>
      <c r="D704" s="573"/>
      <c r="E704" s="573"/>
      <c r="F704" s="554"/>
      <c r="G704" s="554"/>
      <c r="H704" s="399"/>
      <c r="I704" s="399"/>
      <c r="J704" s="399"/>
      <c r="K704" s="399"/>
      <c r="L704" s="562"/>
    </row>
    <row r="705" spans="1:12" ht="18">
      <c r="A705" s="576" t="s">
        <v>573</v>
      </c>
      <c r="B705" s="399"/>
      <c r="C705" s="570"/>
      <c r="D705" s="577">
        <f>SUM(D698:D704)</f>
        <v>2810000</v>
      </c>
      <c r="E705" s="577">
        <f>SUM(E698:E704)</f>
        <v>2821280</v>
      </c>
      <c r="F705" s="399"/>
      <c r="G705" s="399"/>
      <c r="H705" s="399"/>
      <c r="I705" s="399"/>
      <c r="J705" s="399"/>
      <c r="K705" s="399"/>
      <c r="L705" s="399"/>
    </row>
    <row r="706" spans="1:12" ht="18">
      <c r="A706" s="575"/>
      <c r="B706" s="563"/>
      <c r="C706" s="572"/>
      <c r="D706" s="573"/>
      <c r="E706" s="573"/>
      <c r="F706" s="554"/>
      <c r="G706" s="554"/>
      <c r="H706" s="399"/>
      <c r="I706" s="399"/>
      <c r="J706" s="399"/>
      <c r="K706" s="399"/>
      <c r="L706" s="562"/>
    </row>
    <row r="707" spans="1:12" ht="18">
      <c r="A707" s="574" t="s">
        <v>574</v>
      </c>
      <c r="B707" s="399"/>
      <c r="C707" s="570"/>
      <c r="D707" s="571">
        <v>95000</v>
      </c>
      <c r="E707" s="571">
        <v>78000</v>
      </c>
      <c r="F707" s="399"/>
      <c r="G707" s="399"/>
      <c r="H707" s="399"/>
      <c r="I707" s="399"/>
      <c r="J707" s="399"/>
      <c r="K707" s="399"/>
      <c r="L707" s="399"/>
    </row>
    <row r="708" spans="1:12" ht="18">
      <c r="A708" s="569" t="s">
        <v>575</v>
      </c>
      <c r="B708" s="563"/>
      <c r="C708" s="572"/>
      <c r="D708" s="573">
        <v>60000</v>
      </c>
      <c r="E708" s="573">
        <v>60000</v>
      </c>
      <c r="F708" s="554"/>
      <c r="G708" s="554"/>
      <c r="H708" s="399"/>
      <c r="I708" s="399"/>
      <c r="J708" s="399"/>
      <c r="K708" s="399"/>
      <c r="L708" s="562"/>
    </row>
    <row r="709" spans="1:12" ht="18">
      <c r="A709" s="574" t="s">
        <v>17</v>
      </c>
      <c r="B709" s="399"/>
      <c r="C709" s="570"/>
      <c r="D709" s="571">
        <v>200000</v>
      </c>
      <c r="E709" s="571">
        <v>0</v>
      </c>
      <c r="F709" s="399"/>
      <c r="G709" s="399"/>
      <c r="H709" s="399"/>
      <c r="I709" s="399"/>
      <c r="J709" s="399"/>
      <c r="K709" s="399"/>
      <c r="L709" s="399"/>
    </row>
    <row r="710" spans="1:12" ht="18">
      <c r="A710" s="575"/>
      <c r="B710" s="563"/>
      <c r="C710" s="572"/>
      <c r="D710" s="573"/>
      <c r="E710" s="573"/>
      <c r="F710" s="554"/>
      <c r="G710" s="554"/>
      <c r="H710" s="399"/>
      <c r="I710" s="399"/>
      <c r="J710" s="399"/>
      <c r="K710" s="399"/>
      <c r="L710" s="562"/>
    </row>
    <row r="711" spans="1:12" ht="18">
      <c r="A711" s="574" t="s">
        <v>576</v>
      </c>
      <c r="B711" s="399"/>
      <c r="C711" s="570"/>
      <c r="D711" s="571">
        <v>1650000</v>
      </c>
      <c r="E711" s="571">
        <v>1590000</v>
      </c>
      <c r="F711" s="399"/>
      <c r="G711" s="399"/>
      <c r="H711" s="399"/>
      <c r="I711" s="399"/>
      <c r="J711" s="399"/>
      <c r="K711" s="399"/>
      <c r="L711" s="399"/>
    </row>
    <row r="712" spans="1:12" ht="18">
      <c r="A712" s="569" t="s">
        <v>637</v>
      </c>
      <c r="B712" s="563"/>
      <c r="C712" s="572"/>
      <c r="D712" s="573">
        <v>1000</v>
      </c>
      <c r="E712" s="573">
        <v>1000</v>
      </c>
      <c r="F712" s="554"/>
      <c r="G712" s="554"/>
      <c r="H712" s="399"/>
      <c r="I712" s="399"/>
      <c r="J712" s="399"/>
      <c r="K712" s="399"/>
      <c r="L712" s="562"/>
    </row>
    <row r="713" spans="1:12" ht="18">
      <c r="A713" s="574" t="s">
        <v>638</v>
      </c>
      <c r="B713" s="399"/>
      <c r="C713" s="570"/>
      <c r="D713" s="571">
        <v>249000</v>
      </c>
      <c r="E713" s="571">
        <v>250000</v>
      </c>
      <c r="F713" s="399"/>
      <c r="G713" s="399"/>
      <c r="H713" s="399"/>
      <c r="I713" s="399"/>
      <c r="J713" s="399"/>
      <c r="K713" s="399"/>
      <c r="L713" s="399"/>
    </row>
    <row r="714" spans="1:12" ht="18">
      <c r="A714" s="569" t="s">
        <v>39</v>
      </c>
      <c r="B714" s="563"/>
      <c r="C714" s="572"/>
      <c r="D714" s="573">
        <v>555000</v>
      </c>
      <c r="E714" s="573">
        <v>842280</v>
      </c>
      <c r="F714" s="554"/>
      <c r="G714" s="554"/>
      <c r="H714" s="399"/>
      <c r="I714" s="399"/>
      <c r="J714" s="399"/>
      <c r="K714" s="399"/>
      <c r="L714" s="562"/>
    </row>
    <row r="715" spans="1:12" ht="18">
      <c r="A715" s="574"/>
      <c r="B715" s="399"/>
      <c r="C715" s="570"/>
      <c r="D715" s="571"/>
      <c r="E715" s="571"/>
      <c r="F715" s="399"/>
      <c r="G715" s="399"/>
      <c r="H715" s="399"/>
      <c r="I715" s="399"/>
      <c r="J715" s="399"/>
      <c r="K715" s="399"/>
      <c r="L715" s="399"/>
    </row>
    <row r="716" spans="1:12" ht="18">
      <c r="A716" s="578" t="s">
        <v>578</v>
      </c>
      <c r="B716" s="579"/>
      <c r="C716" s="580"/>
      <c r="D716" s="581">
        <f>SUM(D707:D715)</f>
        <v>2810000</v>
      </c>
      <c r="E716" s="581">
        <f>SUM(E707:E715)</f>
        <v>2821280</v>
      </c>
      <c r="F716" s="554"/>
      <c r="G716" s="554"/>
      <c r="H716" s="399"/>
      <c r="I716" s="399"/>
      <c r="J716" s="399"/>
      <c r="K716" s="399"/>
      <c r="L716" s="562"/>
    </row>
    <row r="717" spans="1:12" ht="18">
      <c r="A717" s="557"/>
      <c r="B717" s="557"/>
      <c r="C717" s="557"/>
      <c r="D717" s="557"/>
      <c r="E717" s="557"/>
      <c r="F717" s="557"/>
      <c r="G717" s="557"/>
      <c r="H717" s="557"/>
      <c r="I717" s="557"/>
      <c r="J717" s="557"/>
      <c r="K717" s="557"/>
      <c r="L717" s="557"/>
    </row>
    <row r="718" spans="1:12" ht="18.399999999999999" thickBot="1">
      <c r="A718" s="552" t="s">
        <v>579</v>
      </c>
      <c r="B718" s="561"/>
      <c r="C718" s="399"/>
      <c r="D718" s="582"/>
      <c r="E718" s="399"/>
      <c r="F718" s="399"/>
      <c r="G718" s="399"/>
      <c r="H718" s="399"/>
      <c r="I718" s="399"/>
      <c r="J718" s="399"/>
      <c r="K718" s="399"/>
      <c r="L718" s="399"/>
    </row>
    <row r="719" spans="1:12" ht="18">
      <c r="A719" s="1107" t="s">
        <v>639</v>
      </c>
      <c r="B719" s="1108"/>
      <c r="C719" s="1108"/>
      <c r="D719" s="1108"/>
      <c r="E719" s="1108"/>
      <c r="F719" s="1109"/>
      <c r="G719" s="399"/>
      <c r="H719" s="399"/>
      <c r="I719" s="399"/>
      <c r="J719" s="399"/>
      <c r="K719" s="399"/>
      <c r="L719" s="399"/>
    </row>
    <row r="720" spans="1:12" ht="18">
      <c r="A720" s="583" t="s">
        <v>581</v>
      </c>
      <c r="B720" s="566"/>
      <c r="C720" s="566"/>
      <c r="D720" s="584"/>
      <c r="E720" s="585">
        <v>1740000</v>
      </c>
      <c r="F720" s="586"/>
      <c r="G720" s="554"/>
      <c r="H720" s="399"/>
      <c r="I720" s="399"/>
      <c r="J720" s="399"/>
      <c r="K720" s="399"/>
      <c r="L720" s="562"/>
    </row>
    <row r="721" spans="1:12" ht="18">
      <c r="A721" s="587" t="s">
        <v>582</v>
      </c>
      <c r="B721" s="399"/>
      <c r="C721" s="399"/>
      <c r="D721" s="399"/>
      <c r="E721" s="588">
        <v>860000</v>
      </c>
      <c r="F721" s="589"/>
      <c r="G721" s="399"/>
      <c r="H721" s="399"/>
      <c r="I721" s="399"/>
      <c r="J721" s="399"/>
      <c r="K721" s="399"/>
      <c r="L721" s="399"/>
    </row>
    <row r="722" spans="1:12" ht="18">
      <c r="A722" s="590"/>
      <c r="B722" s="566" t="s">
        <v>583</v>
      </c>
      <c r="C722" s="566"/>
      <c r="D722" s="584"/>
      <c r="E722" s="585"/>
      <c r="F722" s="591">
        <f>SUM(E720:E721)</f>
        <v>2600000</v>
      </c>
      <c r="G722" s="554"/>
      <c r="H722" s="399"/>
      <c r="I722" s="399"/>
      <c r="J722" s="399"/>
      <c r="K722" s="399"/>
      <c r="L722" s="562"/>
    </row>
    <row r="723" spans="1:12" ht="18">
      <c r="A723" s="587" t="s">
        <v>584</v>
      </c>
      <c r="B723" s="399"/>
      <c r="C723" s="399"/>
      <c r="D723" s="399"/>
      <c r="E723" s="588"/>
      <c r="F723" s="592">
        <v>780000</v>
      </c>
      <c r="G723" s="399"/>
      <c r="H723" s="399"/>
      <c r="I723" s="399"/>
      <c r="J723" s="399"/>
      <c r="K723" s="399"/>
      <c r="L723" s="399"/>
    </row>
    <row r="724" spans="1:12" ht="18">
      <c r="A724" s="593" t="s">
        <v>585</v>
      </c>
      <c r="B724" s="563"/>
      <c r="C724" s="563"/>
      <c r="D724" s="554"/>
      <c r="E724" s="556"/>
      <c r="F724" s="594">
        <v>850000</v>
      </c>
      <c r="G724" s="554"/>
      <c r="H724" s="399"/>
      <c r="I724" s="399"/>
      <c r="J724" s="399"/>
      <c r="K724" s="399"/>
      <c r="L724" s="562"/>
    </row>
    <row r="725" spans="1:12" ht="18">
      <c r="A725" s="587" t="s">
        <v>586</v>
      </c>
      <c r="B725" s="399"/>
      <c r="C725" s="399"/>
      <c r="D725" s="399"/>
      <c r="E725" s="588"/>
      <c r="F725" s="592">
        <v>480000</v>
      </c>
      <c r="G725" s="399"/>
      <c r="H725" s="399"/>
      <c r="I725" s="399"/>
      <c r="J725" s="399"/>
      <c r="K725" s="399"/>
      <c r="L725" s="399"/>
    </row>
    <row r="726" spans="1:12" ht="18">
      <c r="A726" s="590"/>
      <c r="B726" s="563"/>
      <c r="C726" s="563"/>
      <c r="D726" s="554"/>
      <c r="E726" s="556"/>
      <c r="F726" s="594"/>
      <c r="G726" s="554"/>
      <c r="H726" s="399"/>
      <c r="I726" s="399"/>
      <c r="J726" s="399"/>
      <c r="K726" s="399"/>
      <c r="L726" s="562"/>
    </row>
    <row r="727" spans="1:12" ht="18">
      <c r="A727" s="587" t="s">
        <v>27</v>
      </c>
      <c r="B727" s="399"/>
      <c r="C727" s="399"/>
      <c r="D727" s="399"/>
      <c r="E727" s="588"/>
      <c r="F727" s="592">
        <v>60000</v>
      </c>
      <c r="G727" s="399"/>
      <c r="H727" s="399"/>
      <c r="I727" s="399"/>
      <c r="J727" s="399"/>
      <c r="K727" s="399"/>
      <c r="L727" s="399"/>
    </row>
    <row r="728" spans="1:12" ht="18">
      <c r="A728" s="593" t="s">
        <v>90</v>
      </c>
      <c r="B728" s="563"/>
      <c r="C728" s="563"/>
      <c r="D728" s="554"/>
      <c r="E728" s="554"/>
      <c r="F728" s="594">
        <v>52000</v>
      </c>
      <c r="G728" s="554"/>
      <c r="H728" s="399"/>
      <c r="I728" s="399"/>
      <c r="J728" s="399"/>
      <c r="K728" s="399"/>
      <c r="L728" s="562"/>
    </row>
    <row r="729" spans="1:12" ht="18">
      <c r="A729" s="587"/>
      <c r="B729" s="399"/>
      <c r="C729" s="399"/>
      <c r="D729" s="399"/>
      <c r="E729" s="399"/>
      <c r="F729" s="595"/>
      <c r="G729" s="399"/>
      <c r="H729" s="399"/>
      <c r="I729" s="399"/>
      <c r="J729" s="399"/>
      <c r="K729" s="399"/>
      <c r="L729" s="399"/>
    </row>
    <row r="730" spans="1:12" ht="18">
      <c r="A730" s="593" t="s">
        <v>587</v>
      </c>
      <c r="B730" s="566"/>
      <c r="C730" s="566"/>
      <c r="D730" s="584"/>
      <c r="E730" s="584"/>
      <c r="F730" s="591">
        <f>F722-F723-F724-F725-F726-F727-F728-F729</f>
        <v>378000</v>
      </c>
      <c r="G730" s="554"/>
      <c r="H730" s="399"/>
      <c r="I730" s="399"/>
      <c r="J730" s="399"/>
      <c r="K730" s="399"/>
      <c r="L730" s="562"/>
    </row>
    <row r="731" spans="1:12" ht="18">
      <c r="A731" s="587" t="s">
        <v>438</v>
      </c>
      <c r="B731" s="399"/>
      <c r="C731" s="399"/>
      <c r="D731" s="399"/>
      <c r="E731" s="399"/>
      <c r="F731" s="592">
        <v>90720</v>
      </c>
      <c r="G731" s="399"/>
      <c r="H731" s="399"/>
      <c r="I731" s="399"/>
      <c r="J731" s="399"/>
      <c r="K731" s="399"/>
      <c r="L731" s="399"/>
    </row>
    <row r="732" spans="1:12" ht="18">
      <c r="A732" s="590"/>
      <c r="B732" s="563"/>
      <c r="C732" s="563"/>
      <c r="D732" s="554"/>
      <c r="E732" s="554"/>
      <c r="F732" s="596"/>
      <c r="G732" s="554"/>
      <c r="H732" s="399"/>
      <c r="I732" s="399"/>
      <c r="J732" s="399"/>
      <c r="K732" s="399"/>
      <c r="L732" s="562"/>
    </row>
    <row r="733" spans="1:12" ht="18">
      <c r="A733" s="597" t="s">
        <v>43</v>
      </c>
      <c r="B733" s="598"/>
      <c r="C733" s="598"/>
      <c r="D733" s="598"/>
      <c r="E733" s="598"/>
      <c r="F733" s="599">
        <f>F730-F731</f>
        <v>287280</v>
      </c>
      <c r="G733" s="399"/>
      <c r="H733" s="399"/>
      <c r="I733" s="399"/>
      <c r="J733" s="399"/>
      <c r="K733" s="399"/>
      <c r="L733" s="399"/>
    </row>
    <row r="734" spans="1:12" ht="18">
      <c r="A734" s="553" t="s">
        <v>640</v>
      </c>
      <c r="B734" s="553"/>
      <c r="C734" s="553"/>
      <c r="D734" s="554"/>
      <c r="E734" s="554"/>
      <c r="F734" s="554"/>
      <c r="G734" s="554"/>
      <c r="H734" s="399"/>
      <c r="I734" s="399"/>
      <c r="J734" s="399"/>
      <c r="K734" s="399"/>
      <c r="L734" s="562"/>
    </row>
    <row r="735" spans="1:12" ht="18">
      <c r="A735" s="1110" t="s">
        <v>641</v>
      </c>
      <c r="B735" s="1110"/>
      <c r="C735" s="1110"/>
      <c r="D735" s="1110"/>
      <c r="E735" s="1110"/>
      <c r="F735" s="1110"/>
      <c r="G735" s="1110"/>
      <c r="H735" s="1110"/>
      <c r="I735" s="1110"/>
      <c r="J735" s="1110"/>
      <c r="K735" s="1110"/>
      <c r="L735" s="1110"/>
    </row>
    <row r="736" spans="1:12" ht="18">
      <c r="A736" s="1110" t="s">
        <v>642</v>
      </c>
      <c r="B736" s="1110"/>
      <c r="C736" s="1110"/>
      <c r="D736" s="1110"/>
      <c r="E736" s="1110"/>
      <c r="F736" s="1110"/>
      <c r="G736" s="1110"/>
      <c r="H736" s="1110"/>
      <c r="I736" s="1110"/>
      <c r="J736" s="1110"/>
      <c r="K736" s="1110"/>
      <c r="L736" s="1110"/>
    </row>
    <row r="737" spans="1:21" ht="18">
      <c r="A737" s="1110" t="s">
        <v>643</v>
      </c>
      <c r="B737" s="1110"/>
      <c r="C737" s="1110"/>
      <c r="D737" s="1110"/>
      <c r="E737" s="1110"/>
      <c r="F737" s="1110"/>
      <c r="G737" s="1110"/>
      <c r="H737" s="1110"/>
      <c r="I737" s="1110"/>
      <c r="J737" s="1110"/>
      <c r="K737" s="1110"/>
      <c r="L737" s="1110"/>
    </row>
    <row r="738" spans="1:21" ht="18.399999999999999" thickBot="1">
      <c r="A738" s="600"/>
      <c r="B738" s="601"/>
      <c r="C738" s="601"/>
      <c r="D738" s="601"/>
      <c r="E738" s="601"/>
      <c r="F738" s="555"/>
      <c r="G738" s="399"/>
      <c r="H738" s="399"/>
      <c r="I738" s="399"/>
      <c r="J738" s="399"/>
      <c r="K738" s="399"/>
      <c r="L738" s="399"/>
    </row>
    <row r="739" spans="1:21" ht="18.399999999999999" thickBot="1">
      <c r="A739" s="602" t="s">
        <v>644</v>
      </c>
      <c r="B739" s="603"/>
      <c r="C739" s="603"/>
      <c r="D739" s="603"/>
      <c r="E739" s="603"/>
      <c r="F739" s="604"/>
      <c r="G739" s="605"/>
      <c r="H739" s="605"/>
      <c r="I739" s="605"/>
      <c r="J739" s="605"/>
      <c r="K739" s="605"/>
      <c r="L739" s="606"/>
    </row>
    <row r="740" spans="1:21" ht="18.399999999999999" thickBot="1">
      <c r="A740" s="1104" t="s">
        <v>645</v>
      </c>
      <c r="B740" s="1105"/>
      <c r="C740" s="1105"/>
      <c r="D740" s="1105"/>
      <c r="E740" s="1105"/>
      <c r="F740" s="1105"/>
      <c r="G740" s="1105"/>
      <c r="H740" s="1105"/>
      <c r="I740" s="1105"/>
      <c r="J740" s="1105"/>
      <c r="K740" s="1105"/>
      <c r="L740" s="607">
        <v>4</v>
      </c>
    </row>
    <row r="741" spans="1:21" ht="18.399999999999999" thickBot="1">
      <c r="A741" s="1104" t="s">
        <v>646</v>
      </c>
      <c r="B741" s="1105"/>
      <c r="C741" s="1105"/>
      <c r="D741" s="1105"/>
      <c r="E741" s="1105"/>
      <c r="F741" s="1105"/>
      <c r="G741" s="1105"/>
      <c r="H741" s="1105"/>
      <c r="I741" s="1105"/>
      <c r="J741" s="1105"/>
      <c r="K741" s="1105"/>
      <c r="L741" s="608">
        <v>2</v>
      </c>
    </row>
    <row r="742" spans="1:21" ht="18.399999999999999" thickBot="1">
      <c r="A742" s="1104" t="s">
        <v>648</v>
      </c>
      <c r="B742" s="1105"/>
      <c r="C742" s="1105"/>
      <c r="D742" s="1105"/>
      <c r="E742" s="1105"/>
      <c r="F742" s="1105"/>
      <c r="G742" s="1105"/>
      <c r="H742" s="1105"/>
      <c r="I742" s="1105"/>
      <c r="J742" s="1105"/>
      <c r="K742" s="1105"/>
      <c r="L742" s="607">
        <v>3</v>
      </c>
    </row>
    <row r="743" spans="1:21" ht="18.399999999999999" thickBot="1">
      <c r="A743" s="1104" t="s">
        <v>649</v>
      </c>
      <c r="B743" s="1105"/>
      <c r="C743" s="1105"/>
      <c r="D743" s="1105"/>
      <c r="E743" s="1105"/>
      <c r="F743" s="1105"/>
      <c r="G743" s="1105"/>
      <c r="H743" s="1105"/>
      <c r="I743" s="1105"/>
      <c r="J743" s="1105"/>
      <c r="K743" s="1105"/>
      <c r="L743" s="607">
        <v>3</v>
      </c>
    </row>
    <row r="746" spans="1:21" s="2" customFormat="1">
      <c r="A746" s="164">
        <v>18</v>
      </c>
    </row>
    <row r="747" spans="1:21" ht="14.65" thickBot="1"/>
    <row r="748" spans="1:21" ht="18.399999999999999" thickBot="1">
      <c r="A748" s="686" t="s">
        <v>701</v>
      </c>
      <c r="B748" s="685"/>
      <c r="C748" s="685"/>
      <c r="D748" s="685"/>
      <c r="E748" s="685"/>
      <c r="F748" s="685"/>
      <c r="G748" s="685"/>
      <c r="H748" s="685"/>
      <c r="I748" s="685"/>
      <c r="J748" s="685"/>
      <c r="K748" s="685"/>
      <c r="L748" s="685"/>
      <c r="M748" s="685"/>
      <c r="N748" s="685"/>
      <c r="O748" s="685"/>
      <c r="P748" s="685"/>
      <c r="Q748" s="685"/>
      <c r="R748" s="685"/>
      <c r="S748" s="685"/>
      <c r="T748" s="685"/>
      <c r="U748" s="687"/>
    </row>
    <row r="749" spans="1:21" ht="18">
      <c r="A749" s="684"/>
      <c r="B749" s="684"/>
      <c r="C749" s="684"/>
      <c r="D749" s="684"/>
      <c r="E749" s="684"/>
      <c r="F749" s="684"/>
      <c r="G749" s="684"/>
      <c r="H749" s="684"/>
      <c r="I749" s="684"/>
      <c r="J749" s="684"/>
      <c r="K749" s="684"/>
      <c r="L749" s="684"/>
      <c r="M749" s="684"/>
      <c r="N749" s="684"/>
      <c r="O749" s="684"/>
      <c r="P749" s="684"/>
      <c r="Q749" s="684"/>
      <c r="R749" s="684"/>
      <c r="S749" s="684"/>
      <c r="T749" s="684"/>
      <c r="U749" s="687"/>
    </row>
    <row r="750" spans="1:21" ht="18">
      <c r="A750" s="684"/>
      <c r="B750" s="684"/>
      <c r="C750" s="684"/>
      <c r="D750" s="684"/>
      <c r="E750" s="684"/>
      <c r="F750" s="684"/>
      <c r="G750" s="684"/>
      <c r="H750" s="684"/>
      <c r="I750" s="684"/>
      <c r="J750" s="684"/>
      <c r="K750" s="684"/>
      <c r="L750" s="684"/>
      <c r="M750" s="684"/>
      <c r="N750" s="684"/>
      <c r="O750" s="684"/>
      <c r="P750" s="684"/>
      <c r="Q750" s="684"/>
      <c r="R750" s="684"/>
      <c r="S750" s="684"/>
      <c r="T750" s="684"/>
      <c r="U750" s="687"/>
    </row>
    <row r="751" spans="1:21" ht="21">
      <c r="A751" s="690" t="s">
        <v>145</v>
      </c>
      <c r="B751" s="691"/>
      <c r="C751" s="691"/>
      <c r="D751" s="691"/>
      <c r="E751" s="691"/>
      <c r="F751" s="692">
        <v>44926</v>
      </c>
      <c r="G751" s="692">
        <v>45291</v>
      </c>
      <c r="H751" s="691"/>
      <c r="I751" s="691"/>
      <c r="J751" s="691"/>
      <c r="K751" s="691"/>
      <c r="L751" s="691"/>
      <c r="M751" s="692">
        <v>44926</v>
      </c>
      <c r="N751" s="693">
        <v>45291</v>
      </c>
      <c r="O751" s="684"/>
      <c r="P751" s="684"/>
      <c r="Q751" s="684"/>
      <c r="R751" s="684"/>
      <c r="S751" s="684"/>
      <c r="T751" s="684"/>
      <c r="U751" s="687"/>
    </row>
    <row r="752" spans="1:21" ht="18">
      <c r="A752" s="694"/>
      <c r="B752" s="695"/>
      <c r="C752" s="695"/>
      <c r="D752" s="695"/>
      <c r="E752" s="695"/>
      <c r="F752" s="695"/>
      <c r="G752" s="695"/>
      <c r="H752" s="695"/>
      <c r="I752" s="695"/>
      <c r="J752" s="695"/>
      <c r="K752" s="695"/>
      <c r="L752" s="695"/>
      <c r="M752" s="695"/>
      <c r="N752" s="696"/>
      <c r="O752" s="684"/>
      <c r="P752" s="684"/>
      <c r="Q752" s="684"/>
      <c r="R752" s="684"/>
      <c r="S752" s="684"/>
      <c r="T752" s="684"/>
      <c r="U752" s="687"/>
    </row>
    <row r="753" spans="1:21" ht="18">
      <c r="A753" s="694" t="s">
        <v>670</v>
      </c>
      <c r="B753" s="695"/>
      <c r="C753" s="695"/>
      <c r="D753" s="695"/>
      <c r="E753" s="695"/>
      <c r="F753" s="705">
        <v>36180</v>
      </c>
      <c r="G753" s="705">
        <v>56620</v>
      </c>
      <c r="H753" s="695"/>
      <c r="I753" s="695" t="s">
        <v>671</v>
      </c>
      <c r="J753" s="695"/>
      <c r="K753" s="695"/>
      <c r="L753" s="695"/>
      <c r="M753" s="705">
        <v>15480</v>
      </c>
      <c r="N753" s="706">
        <v>10320</v>
      </c>
      <c r="O753" s="684"/>
      <c r="P753" s="684"/>
      <c r="Q753" s="684"/>
      <c r="R753" s="684"/>
      <c r="S753" s="684"/>
      <c r="T753" s="684"/>
      <c r="U753" s="687"/>
    </row>
    <row r="754" spans="1:21" ht="18">
      <c r="A754" s="694" t="s">
        <v>672</v>
      </c>
      <c r="B754" s="695"/>
      <c r="C754" s="695"/>
      <c r="D754" s="695"/>
      <c r="E754" s="695"/>
      <c r="F754" s="705">
        <v>68800</v>
      </c>
      <c r="G754" s="705">
        <v>41800</v>
      </c>
      <c r="H754" s="695"/>
      <c r="I754" s="695" t="s">
        <v>673</v>
      </c>
      <c r="J754" s="695"/>
      <c r="K754" s="695"/>
      <c r="L754" s="695"/>
      <c r="M754" s="705">
        <v>2300</v>
      </c>
      <c r="N754" s="706">
        <v>4100</v>
      </c>
      <c r="O754" s="684"/>
      <c r="P754" s="684"/>
      <c r="Q754" s="684"/>
      <c r="R754" s="684"/>
      <c r="S754" s="684"/>
      <c r="T754" s="684"/>
      <c r="U754" s="687"/>
    </row>
    <row r="755" spans="1:21" ht="18">
      <c r="A755" s="694" t="s">
        <v>674</v>
      </c>
      <c r="B755" s="695"/>
      <c r="C755" s="695"/>
      <c r="D755" s="695"/>
      <c r="E755" s="695"/>
      <c r="F755" s="705">
        <v>5160</v>
      </c>
      <c r="G755" s="705">
        <v>7740</v>
      </c>
      <c r="H755" s="695"/>
      <c r="I755" s="695" t="s">
        <v>675</v>
      </c>
      <c r="J755" s="695"/>
      <c r="K755" s="695"/>
      <c r="L755" s="695"/>
      <c r="M755" s="705">
        <v>44000</v>
      </c>
      <c r="N755" s="706">
        <v>45877</v>
      </c>
      <c r="O755" s="684"/>
      <c r="P755" s="684"/>
      <c r="Q755" s="684"/>
      <c r="R755" s="684"/>
      <c r="S755" s="684"/>
      <c r="T755" s="684"/>
      <c r="U755" s="687"/>
    </row>
    <row r="756" spans="1:21" ht="18">
      <c r="A756" s="694" t="s">
        <v>676</v>
      </c>
      <c r="B756" s="695"/>
      <c r="C756" s="695"/>
      <c r="D756" s="695"/>
      <c r="E756" s="695"/>
      <c r="F756" s="705">
        <v>16200</v>
      </c>
      <c r="G756" s="705">
        <v>17300</v>
      </c>
      <c r="H756" s="695"/>
      <c r="I756" s="695" t="s">
        <v>677</v>
      </c>
      <c r="J756" s="695"/>
      <c r="K756" s="695"/>
      <c r="L756" s="695"/>
      <c r="M756" s="705">
        <v>125000</v>
      </c>
      <c r="N756" s="706">
        <v>125000</v>
      </c>
      <c r="O756" s="684"/>
      <c r="P756" s="684"/>
      <c r="Q756" s="684"/>
      <c r="R756" s="684"/>
      <c r="S756" s="684"/>
      <c r="T756" s="684"/>
      <c r="U756" s="687"/>
    </row>
    <row r="757" spans="1:21" ht="19.899999999999999">
      <c r="A757" s="694" t="s">
        <v>678</v>
      </c>
      <c r="B757" s="695"/>
      <c r="C757" s="695"/>
      <c r="D757" s="695"/>
      <c r="E757" s="695"/>
      <c r="F757" s="707">
        <v>2100</v>
      </c>
      <c r="G757" s="707">
        <v>101070</v>
      </c>
      <c r="H757" s="695"/>
      <c r="I757" s="695" t="s">
        <v>679</v>
      </c>
      <c r="J757" s="695"/>
      <c r="K757" s="695"/>
      <c r="L757" s="695"/>
      <c r="M757" s="707">
        <v>0</v>
      </c>
      <c r="N757" s="708">
        <v>91000</v>
      </c>
      <c r="O757" s="684"/>
      <c r="P757" s="684"/>
      <c r="Q757" s="684"/>
      <c r="R757" s="684"/>
      <c r="S757" s="684"/>
      <c r="T757" s="684"/>
      <c r="U757" s="687"/>
    </row>
    <row r="758" spans="1:21" ht="18">
      <c r="A758" s="697" t="s">
        <v>680</v>
      </c>
      <c r="B758" s="695"/>
      <c r="C758" s="695"/>
      <c r="D758" s="695"/>
      <c r="E758" s="695"/>
      <c r="F758" s="709">
        <v>128440</v>
      </c>
      <c r="G758" s="709">
        <v>224530</v>
      </c>
      <c r="H758" s="695"/>
      <c r="I758" s="714" t="s">
        <v>681</v>
      </c>
      <c r="J758" s="695"/>
      <c r="K758" s="695"/>
      <c r="L758" s="695"/>
      <c r="M758" s="709">
        <v>186780</v>
      </c>
      <c r="N758" s="710">
        <v>276297</v>
      </c>
      <c r="O758" s="684"/>
      <c r="P758" s="684"/>
      <c r="Q758" s="684"/>
      <c r="R758" s="684"/>
      <c r="S758" s="684"/>
      <c r="T758" s="684"/>
      <c r="U758" s="687"/>
    </row>
    <row r="759" spans="1:21" ht="18">
      <c r="A759" s="694"/>
      <c r="B759" s="695"/>
      <c r="C759" s="695"/>
      <c r="D759" s="695"/>
      <c r="E759" s="695"/>
      <c r="F759" s="705"/>
      <c r="G759" s="705"/>
      <c r="H759" s="695"/>
      <c r="I759" s="695"/>
      <c r="J759" s="695"/>
      <c r="K759" s="695"/>
      <c r="L759" s="695"/>
      <c r="M759" s="705"/>
      <c r="N759" s="706"/>
      <c r="O759" s="684"/>
      <c r="P759" s="684"/>
      <c r="Q759" s="684"/>
      <c r="R759" s="684"/>
      <c r="S759" s="684"/>
      <c r="T759" s="684"/>
      <c r="U759" s="687"/>
    </row>
    <row r="760" spans="1:21" ht="18">
      <c r="A760" s="694" t="s">
        <v>682</v>
      </c>
      <c r="B760" s="695"/>
      <c r="C760" s="695"/>
      <c r="D760" s="695"/>
      <c r="E760" s="695"/>
      <c r="F760" s="705">
        <v>580000</v>
      </c>
      <c r="G760" s="705">
        <v>580000</v>
      </c>
      <c r="H760" s="695"/>
      <c r="I760" s="695" t="s">
        <v>683</v>
      </c>
      <c r="J760" s="695"/>
      <c r="K760" s="695"/>
      <c r="L760" s="695"/>
      <c r="M760" s="705">
        <v>1250000</v>
      </c>
      <c r="N760" s="706">
        <v>1725000</v>
      </c>
      <c r="O760" s="684"/>
      <c r="P760" s="684"/>
      <c r="Q760" s="684"/>
      <c r="R760" s="684"/>
      <c r="S760" s="684"/>
      <c r="T760" s="684"/>
      <c r="U760" s="687"/>
    </row>
    <row r="761" spans="1:21" ht="18">
      <c r="A761" s="694" t="s">
        <v>684</v>
      </c>
      <c r="B761" s="695"/>
      <c r="C761" s="695"/>
      <c r="D761" s="695"/>
      <c r="E761" s="695"/>
      <c r="F761" s="705">
        <v>-116000</v>
      </c>
      <c r="G761" s="705">
        <v>-232000</v>
      </c>
      <c r="H761" s="695"/>
      <c r="I761" s="695" t="s">
        <v>637</v>
      </c>
      <c r="J761" s="695"/>
      <c r="K761" s="695"/>
      <c r="L761" s="695"/>
      <c r="M761" s="705">
        <v>120000</v>
      </c>
      <c r="N761" s="706">
        <v>120000</v>
      </c>
      <c r="O761" s="684"/>
      <c r="P761" s="684"/>
      <c r="Q761" s="684"/>
      <c r="R761" s="684"/>
      <c r="S761" s="684"/>
      <c r="T761" s="684"/>
      <c r="U761" s="687"/>
    </row>
    <row r="762" spans="1:21" ht="18">
      <c r="A762" s="694" t="s">
        <v>685</v>
      </c>
      <c r="B762" s="695"/>
      <c r="C762" s="695"/>
      <c r="D762" s="695"/>
      <c r="E762" s="695"/>
      <c r="F762" s="705">
        <v>920000</v>
      </c>
      <c r="G762" s="705">
        <v>1590000</v>
      </c>
      <c r="H762" s="695"/>
      <c r="I762" s="695" t="s">
        <v>686</v>
      </c>
      <c r="J762" s="695"/>
      <c r="K762" s="695"/>
      <c r="L762" s="695"/>
      <c r="M762" s="705">
        <v>85000</v>
      </c>
      <c r="N762" s="706">
        <v>85000</v>
      </c>
      <c r="O762" s="684"/>
      <c r="P762" s="684"/>
      <c r="Q762" s="684"/>
      <c r="R762" s="684"/>
      <c r="S762" s="684"/>
      <c r="T762" s="684"/>
      <c r="U762" s="687"/>
    </row>
    <row r="763" spans="1:21" ht="19.899999999999999">
      <c r="A763" s="694" t="s">
        <v>687</v>
      </c>
      <c r="B763" s="695"/>
      <c r="C763" s="695"/>
      <c r="D763" s="695"/>
      <c r="E763" s="695"/>
      <c r="F763" s="705">
        <v>-46000</v>
      </c>
      <c r="G763" s="705">
        <v>-92000</v>
      </c>
      <c r="H763" s="695"/>
      <c r="I763" s="695" t="s">
        <v>688</v>
      </c>
      <c r="J763" s="695"/>
      <c r="K763" s="695"/>
      <c r="L763" s="695"/>
      <c r="M763" s="707">
        <v>124660</v>
      </c>
      <c r="N763" s="708">
        <v>164233</v>
      </c>
      <c r="O763" s="684"/>
      <c r="P763" s="684"/>
      <c r="Q763" s="684"/>
      <c r="R763" s="684"/>
      <c r="S763" s="684"/>
      <c r="T763" s="684"/>
      <c r="U763" s="687"/>
    </row>
    <row r="764" spans="1:21" ht="19.899999999999999">
      <c r="A764" s="694" t="s">
        <v>689</v>
      </c>
      <c r="B764" s="695"/>
      <c r="C764" s="695"/>
      <c r="D764" s="695"/>
      <c r="E764" s="695"/>
      <c r="F764" s="707">
        <v>300000</v>
      </c>
      <c r="G764" s="707">
        <v>300000</v>
      </c>
      <c r="H764" s="695"/>
      <c r="I764" s="714" t="s">
        <v>690</v>
      </c>
      <c r="J764" s="695"/>
      <c r="K764" s="695"/>
      <c r="L764" s="695"/>
      <c r="M764" s="709">
        <v>1579660</v>
      </c>
      <c r="N764" s="710">
        <v>2094233</v>
      </c>
      <c r="O764" s="689"/>
      <c r="P764" s="684"/>
      <c r="Q764" s="684"/>
      <c r="R764" s="684"/>
      <c r="S764" s="684"/>
      <c r="T764" s="684"/>
      <c r="U764" s="687"/>
    </row>
    <row r="765" spans="1:21" ht="18">
      <c r="A765" s="697" t="s">
        <v>691</v>
      </c>
      <c r="B765" s="695"/>
      <c r="C765" s="695"/>
      <c r="D765" s="695"/>
      <c r="E765" s="695"/>
      <c r="F765" s="709">
        <v>1638000</v>
      </c>
      <c r="G765" s="709">
        <v>2146000</v>
      </c>
      <c r="H765" s="695"/>
      <c r="I765" s="695"/>
      <c r="J765" s="695"/>
      <c r="K765" s="695"/>
      <c r="L765" s="695"/>
      <c r="M765" s="715"/>
      <c r="N765" s="711"/>
      <c r="O765" s="684"/>
      <c r="P765" s="684"/>
      <c r="Q765" s="684"/>
      <c r="R765" s="684"/>
      <c r="S765" s="684"/>
      <c r="T765" s="684"/>
      <c r="U765" s="687"/>
    </row>
    <row r="766" spans="1:21" ht="18">
      <c r="A766" s="694"/>
      <c r="B766" s="695"/>
      <c r="C766" s="695"/>
      <c r="D766" s="695"/>
      <c r="E766" s="695"/>
      <c r="F766" s="715"/>
      <c r="G766" s="715"/>
      <c r="H766" s="695"/>
      <c r="I766" s="695"/>
      <c r="J766" s="695"/>
      <c r="K766" s="695"/>
      <c r="L766" s="695"/>
      <c r="M766" s="715"/>
      <c r="N766" s="711"/>
      <c r="O766" s="684"/>
      <c r="P766" s="684"/>
      <c r="Q766" s="684"/>
      <c r="R766" s="684"/>
      <c r="S766" s="684"/>
      <c r="T766" s="684"/>
      <c r="U766" s="687"/>
    </row>
    <row r="767" spans="1:21" ht="18">
      <c r="A767" s="698" t="s">
        <v>692</v>
      </c>
      <c r="B767" s="699"/>
      <c r="C767" s="699"/>
      <c r="D767" s="699"/>
      <c r="E767" s="699"/>
      <c r="F767" s="712">
        <v>1766440</v>
      </c>
      <c r="G767" s="712">
        <v>2370530</v>
      </c>
      <c r="H767" s="700"/>
      <c r="I767" s="700" t="s">
        <v>693</v>
      </c>
      <c r="J767" s="700"/>
      <c r="K767" s="700"/>
      <c r="L767" s="700"/>
      <c r="M767" s="712">
        <v>1766440</v>
      </c>
      <c r="N767" s="713">
        <v>2370530</v>
      </c>
      <c r="O767" s="684"/>
      <c r="P767" s="684"/>
      <c r="Q767" s="684"/>
      <c r="R767" s="684"/>
      <c r="S767" s="684"/>
      <c r="T767" s="684"/>
      <c r="U767" s="687"/>
    </row>
    <row r="768" spans="1:21" ht="18">
      <c r="A768" s="684"/>
      <c r="B768" s="684"/>
      <c r="C768" s="684"/>
      <c r="D768" s="684"/>
      <c r="E768" s="684"/>
      <c r="F768" s="684"/>
      <c r="G768" s="684"/>
      <c r="H768" s="684"/>
      <c r="I768" s="684"/>
      <c r="J768" s="684"/>
      <c r="K768" s="684"/>
      <c r="L768" s="684"/>
      <c r="M768" s="684"/>
      <c r="N768" s="684"/>
      <c r="O768" s="684"/>
      <c r="P768" s="684"/>
      <c r="Q768" s="684"/>
      <c r="R768" s="684"/>
      <c r="S768" s="684"/>
      <c r="T768" s="684"/>
      <c r="U768" s="687"/>
    </row>
    <row r="769" spans="1:21" ht="18">
      <c r="A769" s="701" t="s">
        <v>694</v>
      </c>
      <c r="B769" s="691"/>
      <c r="C769" s="691"/>
      <c r="D769" s="691"/>
      <c r="E769" s="702"/>
      <c r="F769" s="684"/>
      <c r="G769" s="684"/>
      <c r="H769" s="684"/>
      <c r="I769" s="684"/>
      <c r="J769" s="684"/>
      <c r="K769" s="684"/>
      <c r="L769" s="684"/>
      <c r="M769" s="684"/>
      <c r="N769" s="684"/>
      <c r="O769" s="684"/>
      <c r="P769" s="684"/>
      <c r="Q769" s="684"/>
      <c r="R769" s="684"/>
      <c r="S769" s="684"/>
      <c r="T769" s="684"/>
      <c r="U769" s="687"/>
    </row>
    <row r="770" spans="1:21" ht="18">
      <c r="A770" s="694"/>
      <c r="B770" s="695"/>
      <c r="C770" s="695"/>
      <c r="D770" s="695"/>
      <c r="E770" s="696"/>
      <c r="F770" s="684"/>
      <c r="G770" s="684"/>
      <c r="H770" s="684"/>
      <c r="I770" s="684"/>
      <c r="J770" s="684"/>
      <c r="K770" s="684"/>
      <c r="L770" s="684"/>
      <c r="M770" s="684"/>
      <c r="N770" s="684"/>
      <c r="O770" s="684"/>
      <c r="P770" s="684"/>
      <c r="Q770" s="684"/>
      <c r="R770" s="684"/>
      <c r="S770" s="684"/>
      <c r="T770" s="684"/>
      <c r="U770" s="687"/>
    </row>
    <row r="771" spans="1:21" ht="19.899999999999999">
      <c r="A771" s="694" t="s">
        <v>695</v>
      </c>
      <c r="B771" s="695"/>
      <c r="C771" s="695"/>
      <c r="D771" s="695"/>
      <c r="E771" s="708">
        <v>1569500</v>
      </c>
      <c r="F771" s="684"/>
      <c r="G771" s="684"/>
      <c r="H771" s="684"/>
      <c r="I771" s="684"/>
      <c r="J771" s="684"/>
      <c r="K771" s="684"/>
      <c r="L771" s="684"/>
      <c r="M771" s="684"/>
      <c r="N771" s="684"/>
      <c r="O771" s="684"/>
      <c r="P771" s="684"/>
      <c r="Q771" s="684"/>
      <c r="R771" s="684"/>
      <c r="S771" s="684"/>
      <c r="T771" s="684"/>
      <c r="U771" s="687"/>
    </row>
    <row r="772" spans="1:21" ht="18">
      <c r="A772" s="694" t="s">
        <v>127</v>
      </c>
      <c r="B772" s="695"/>
      <c r="C772" s="695"/>
      <c r="D772" s="695"/>
      <c r="E772" s="706">
        <v>470850</v>
      </c>
      <c r="F772" s="684"/>
      <c r="G772" s="684"/>
      <c r="H772" s="684"/>
      <c r="I772" s="684"/>
      <c r="J772" s="684"/>
      <c r="K772" s="684"/>
      <c r="L772" s="684"/>
      <c r="M772" s="684"/>
      <c r="N772" s="684"/>
      <c r="O772" s="684"/>
      <c r="P772" s="684"/>
      <c r="Q772" s="684"/>
      <c r="R772" s="684"/>
      <c r="S772" s="684"/>
      <c r="T772" s="684"/>
      <c r="U772" s="687"/>
    </row>
    <row r="773" spans="1:21" ht="18">
      <c r="A773" s="694" t="s">
        <v>174</v>
      </c>
      <c r="B773" s="695"/>
      <c r="C773" s="695"/>
      <c r="D773" s="695"/>
      <c r="E773" s="706">
        <v>504000</v>
      </c>
      <c r="F773" s="684"/>
      <c r="G773" s="684"/>
      <c r="H773" s="684"/>
      <c r="I773" s="684"/>
      <c r="J773" s="684"/>
      <c r="K773" s="684"/>
      <c r="L773" s="684"/>
      <c r="M773" s="684"/>
      <c r="N773" s="684"/>
      <c r="O773" s="684"/>
      <c r="P773" s="684"/>
      <c r="Q773" s="684"/>
      <c r="R773" s="684"/>
      <c r="S773" s="684"/>
      <c r="T773" s="684"/>
      <c r="U773" s="687"/>
    </row>
    <row r="774" spans="1:21" ht="18">
      <c r="A774" s="694" t="s">
        <v>696</v>
      </c>
      <c r="B774" s="695"/>
      <c r="C774" s="695"/>
      <c r="D774" s="695"/>
      <c r="E774" s="706">
        <v>145000</v>
      </c>
      <c r="F774" s="684"/>
      <c r="G774" s="684"/>
      <c r="H774" s="684"/>
      <c r="I774" s="684"/>
      <c r="J774" s="684"/>
      <c r="K774" s="684"/>
      <c r="L774" s="684"/>
      <c r="M774" s="684"/>
      <c r="N774" s="684"/>
      <c r="O774" s="684"/>
      <c r="P774" s="684"/>
      <c r="Q774" s="684"/>
      <c r="R774" s="684"/>
      <c r="S774" s="684"/>
      <c r="T774" s="684"/>
      <c r="U774" s="687"/>
    </row>
    <row r="775" spans="1:21" ht="18">
      <c r="A775" s="694"/>
      <c r="B775" s="695"/>
      <c r="C775" s="695"/>
      <c r="D775" s="695"/>
      <c r="E775" s="706"/>
      <c r="F775" s="684"/>
      <c r="G775" s="684"/>
      <c r="H775" s="684"/>
      <c r="I775" s="684"/>
      <c r="J775" s="684"/>
      <c r="K775" s="684"/>
      <c r="L775" s="684"/>
      <c r="M775" s="684"/>
      <c r="N775" s="684"/>
      <c r="O775" s="684"/>
      <c r="P775" s="684"/>
      <c r="Q775" s="684"/>
      <c r="R775" s="684"/>
      <c r="S775" s="684"/>
      <c r="T775" s="684"/>
      <c r="U775" s="687"/>
    </row>
    <row r="776" spans="1:21" ht="18">
      <c r="A776" s="694" t="s">
        <v>697</v>
      </c>
      <c r="B776" s="695"/>
      <c r="C776" s="695"/>
      <c r="D776" s="695"/>
      <c r="E776" s="706">
        <v>116000</v>
      </c>
      <c r="F776" s="684"/>
      <c r="G776" s="684"/>
      <c r="H776" s="684"/>
      <c r="I776" s="684"/>
      <c r="J776" s="684"/>
      <c r="K776" s="684"/>
      <c r="L776" s="684"/>
      <c r="M776" s="684"/>
      <c r="N776" s="684"/>
      <c r="O776" s="684"/>
      <c r="P776" s="684"/>
      <c r="Q776" s="684"/>
      <c r="R776" s="684"/>
      <c r="S776" s="684"/>
      <c r="T776" s="684"/>
      <c r="U776" s="687"/>
    </row>
    <row r="777" spans="1:21" ht="18">
      <c r="A777" s="694" t="s">
        <v>698</v>
      </c>
      <c r="B777" s="695"/>
      <c r="C777" s="695"/>
      <c r="D777" s="695"/>
      <c r="E777" s="706">
        <v>46000</v>
      </c>
      <c r="F777" s="684"/>
      <c r="G777" s="684"/>
      <c r="H777" s="684"/>
      <c r="I777" s="684"/>
      <c r="J777" s="684"/>
      <c r="K777" s="684"/>
      <c r="L777" s="684"/>
      <c r="M777" s="684"/>
      <c r="N777" s="684"/>
      <c r="O777" s="684"/>
      <c r="P777" s="684"/>
      <c r="Q777" s="684"/>
      <c r="R777" s="684"/>
      <c r="S777" s="684"/>
      <c r="T777" s="684"/>
      <c r="U777" s="687"/>
    </row>
    <row r="778" spans="1:21" ht="18">
      <c r="A778" s="694"/>
      <c r="B778" s="695"/>
      <c r="C778" s="695"/>
      <c r="D778" s="695"/>
      <c r="E778" s="706"/>
      <c r="F778" s="684"/>
      <c r="G778" s="684"/>
      <c r="H778" s="684"/>
      <c r="I778" s="684"/>
      <c r="J778" s="684"/>
      <c r="K778" s="684"/>
      <c r="L778" s="684"/>
      <c r="M778" s="684"/>
      <c r="N778" s="684"/>
      <c r="O778" s="684"/>
      <c r="P778" s="684"/>
      <c r="Q778" s="684"/>
      <c r="R778" s="684"/>
      <c r="S778" s="684"/>
      <c r="T778" s="684"/>
      <c r="U778" s="687"/>
    </row>
    <row r="779" spans="1:21" ht="18">
      <c r="A779" s="694" t="s">
        <v>86</v>
      </c>
      <c r="B779" s="695"/>
      <c r="C779" s="695"/>
      <c r="D779" s="695"/>
      <c r="E779" s="706">
        <v>16200</v>
      </c>
      <c r="F779" s="684"/>
      <c r="G779" s="684"/>
      <c r="H779" s="684"/>
      <c r="I779" s="684"/>
      <c r="J779" s="684"/>
      <c r="K779" s="684"/>
      <c r="L779" s="684"/>
      <c r="M779" s="684"/>
      <c r="N779" s="684"/>
      <c r="O779" s="684"/>
      <c r="P779" s="684"/>
      <c r="Q779" s="684"/>
      <c r="R779" s="684"/>
      <c r="S779" s="684"/>
      <c r="T779" s="684"/>
      <c r="U779" s="687"/>
    </row>
    <row r="780" spans="1:21" ht="18">
      <c r="A780" s="694" t="s">
        <v>699</v>
      </c>
      <c r="B780" s="695"/>
      <c r="C780" s="695"/>
      <c r="D780" s="695"/>
      <c r="E780" s="706">
        <v>32500</v>
      </c>
      <c r="F780" s="684"/>
      <c r="G780" s="684"/>
      <c r="H780" s="684"/>
      <c r="I780" s="684"/>
      <c r="J780" s="684"/>
      <c r="K780" s="684"/>
      <c r="L780" s="684"/>
      <c r="M780" s="684"/>
      <c r="N780" s="684"/>
      <c r="O780" s="684"/>
      <c r="P780" s="684"/>
      <c r="Q780" s="684"/>
      <c r="R780" s="684"/>
      <c r="S780" s="684"/>
      <c r="T780" s="684"/>
      <c r="U780" s="687"/>
    </row>
    <row r="781" spans="1:21" ht="19.899999999999999">
      <c r="A781" s="694" t="s">
        <v>90</v>
      </c>
      <c r="B781" s="695"/>
      <c r="C781" s="695"/>
      <c r="D781" s="695"/>
      <c r="E781" s="708">
        <v>62500</v>
      </c>
      <c r="F781" s="684"/>
      <c r="G781" s="684"/>
      <c r="H781" s="684"/>
      <c r="I781" s="684"/>
      <c r="J781" s="684"/>
      <c r="K781" s="684"/>
      <c r="L781" s="684"/>
      <c r="M781" s="684"/>
      <c r="N781" s="684"/>
      <c r="O781" s="684"/>
      <c r="P781" s="684"/>
      <c r="Q781" s="684"/>
      <c r="R781" s="684"/>
      <c r="S781" s="684"/>
      <c r="T781" s="684"/>
      <c r="U781" s="687"/>
    </row>
    <row r="782" spans="1:21" ht="18">
      <c r="A782" s="694"/>
      <c r="B782" s="695"/>
      <c r="C782" s="695"/>
      <c r="D782" s="695"/>
      <c r="E782" s="706"/>
      <c r="F782" s="684"/>
      <c r="G782" s="684"/>
      <c r="H782" s="684"/>
      <c r="I782" s="684"/>
      <c r="J782" s="684"/>
      <c r="K782" s="684"/>
      <c r="L782" s="684"/>
      <c r="M782" s="684"/>
      <c r="N782" s="684"/>
      <c r="O782" s="684"/>
      <c r="P782" s="684"/>
      <c r="Q782" s="684"/>
      <c r="R782" s="684"/>
      <c r="S782" s="684"/>
      <c r="T782" s="684"/>
      <c r="U782" s="687"/>
    </row>
    <row r="783" spans="1:21" ht="18">
      <c r="A783" s="694" t="s">
        <v>700</v>
      </c>
      <c r="B783" s="695"/>
      <c r="C783" s="695"/>
      <c r="D783" s="695"/>
      <c r="E783" s="706">
        <v>176450</v>
      </c>
      <c r="F783" s="684"/>
      <c r="G783" s="684"/>
      <c r="H783" s="684"/>
      <c r="I783" s="684"/>
      <c r="J783" s="684"/>
      <c r="K783" s="684"/>
      <c r="L783" s="684"/>
      <c r="M783" s="684"/>
      <c r="N783" s="684"/>
      <c r="O783" s="684"/>
      <c r="P783" s="684"/>
      <c r="Q783" s="684"/>
      <c r="R783" s="684"/>
      <c r="S783" s="684"/>
      <c r="T783" s="684"/>
      <c r="U783" s="687"/>
    </row>
    <row r="784" spans="1:21" ht="19.899999999999999">
      <c r="A784" s="694" t="s">
        <v>285</v>
      </c>
      <c r="B784" s="695"/>
      <c r="C784" s="695"/>
      <c r="D784" s="695"/>
      <c r="E784" s="708">
        <v>45877</v>
      </c>
      <c r="F784" s="684"/>
      <c r="G784" s="684"/>
      <c r="H784" s="684"/>
      <c r="I784" s="684"/>
      <c r="J784" s="684"/>
      <c r="K784" s="684"/>
      <c r="L784" s="684"/>
      <c r="M784" s="684"/>
      <c r="N784" s="684"/>
      <c r="O784" s="684"/>
      <c r="P784" s="684"/>
      <c r="Q784" s="684"/>
      <c r="R784" s="684"/>
      <c r="S784" s="684"/>
      <c r="T784" s="684"/>
      <c r="U784" s="687"/>
    </row>
    <row r="785" spans="1:21" ht="18">
      <c r="A785" s="703" t="s">
        <v>92</v>
      </c>
      <c r="B785" s="704"/>
      <c r="C785" s="704"/>
      <c r="D785" s="704"/>
      <c r="E785" s="713">
        <v>130573</v>
      </c>
      <c r="F785" s="684"/>
      <c r="G785" s="684"/>
      <c r="H785" s="684"/>
      <c r="I785" s="684"/>
      <c r="J785" s="684"/>
      <c r="K785" s="684"/>
      <c r="L785" s="684"/>
      <c r="M785" s="684"/>
      <c r="N785" s="684"/>
      <c r="O785" s="684"/>
      <c r="P785" s="684"/>
      <c r="Q785" s="684"/>
      <c r="R785" s="684"/>
      <c r="S785" s="684"/>
      <c r="T785" s="684"/>
      <c r="U785" s="687"/>
    </row>
    <row r="786" spans="1:21" ht="19.899999999999999">
      <c r="A786" s="684"/>
      <c r="B786" s="684"/>
      <c r="C786" s="684"/>
      <c r="D786" s="684"/>
      <c r="E786" s="716"/>
      <c r="F786" s="684"/>
      <c r="G786" s="684"/>
      <c r="H786" s="684"/>
      <c r="I786" s="684"/>
      <c r="J786" s="684"/>
      <c r="K786" s="684"/>
      <c r="L786" s="684"/>
      <c r="M786" s="684"/>
      <c r="N786" s="684"/>
      <c r="O786" s="684"/>
      <c r="P786" s="684"/>
      <c r="Q786" s="684"/>
      <c r="R786" s="684"/>
      <c r="S786" s="684"/>
      <c r="T786" s="684"/>
      <c r="U786" s="687"/>
    </row>
    <row r="787" spans="1:21" ht="21">
      <c r="A787" s="683" t="s">
        <v>702</v>
      </c>
      <c r="B787" s="684" t="s">
        <v>703</v>
      </c>
      <c r="C787" s="684"/>
      <c r="D787" s="684"/>
      <c r="E787" s="684"/>
      <c r="F787" s="684"/>
      <c r="G787" s="684"/>
      <c r="H787" s="684"/>
      <c r="I787" s="684"/>
      <c r="J787" s="684"/>
      <c r="K787" s="684"/>
      <c r="L787" s="684"/>
      <c r="M787" s="684"/>
      <c r="N787" s="684"/>
      <c r="O787" s="684"/>
      <c r="P787" s="684"/>
      <c r="Q787" s="684"/>
      <c r="R787" s="684"/>
      <c r="S787" s="684"/>
      <c r="T787" s="684"/>
      <c r="U787" s="687">
        <v>8</v>
      </c>
    </row>
    <row r="788" spans="1:21" ht="18">
      <c r="A788" s="684"/>
      <c r="B788" s="684"/>
      <c r="C788" s="684"/>
      <c r="D788" s="684"/>
      <c r="E788" s="684"/>
      <c r="F788" s="684"/>
      <c r="G788" s="684"/>
      <c r="H788" s="684"/>
      <c r="I788" s="684"/>
      <c r="J788" s="684"/>
      <c r="K788" s="684"/>
      <c r="L788" s="684"/>
      <c r="M788" s="684"/>
      <c r="N788" s="684"/>
      <c r="O788" s="684"/>
      <c r="P788" s="684"/>
      <c r="Q788" s="684"/>
      <c r="R788" s="684"/>
      <c r="S788" s="684"/>
      <c r="T788" s="684"/>
      <c r="U788" s="687"/>
    </row>
    <row r="789" spans="1:21" ht="21">
      <c r="A789" s="683" t="s">
        <v>704</v>
      </c>
      <c r="B789" s="684" t="s">
        <v>705</v>
      </c>
      <c r="C789" s="684"/>
      <c r="D789" s="684"/>
      <c r="E789" s="684"/>
      <c r="F789" s="684"/>
      <c r="G789" s="684"/>
      <c r="H789" s="684"/>
      <c r="I789" s="684"/>
      <c r="J789" s="684"/>
      <c r="K789" s="684"/>
      <c r="L789" s="684"/>
      <c r="M789" s="684"/>
      <c r="N789" s="684"/>
      <c r="O789" s="684"/>
      <c r="P789" s="684"/>
      <c r="Q789" s="684"/>
      <c r="R789" s="684"/>
      <c r="S789" s="684"/>
      <c r="T789" s="684"/>
      <c r="U789" s="687">
        <v>4</v>
      </c>
    </row>
    <row r="790" spans="1:21" ht="18">
      <c r="A790" s="684"/>
      <c r="B790" s="684"/>
      <c r="C790" s="684"/>
      <c r="D790" s="684"/>
      <c r="E790" s="684"/>
      <c r="F790" s="684"/>
      <c r="G790" s="684"/>
      <c r="H790" s="684"/>
      <c r="I790" s="684"/>
      <c r="J790" s="684"/>
      <c r="K790" s="684"/>
      <c r="L790" s="684"/>
      <c r="M790" s="684"/>
      <c r="N790" s="684"/>
      <c r="O790" s="684"/>
      <c r="P790" s="684"/>
      <c r="Q790" s="684"/>
      <c r="R790" s="684"/>
      <c r="S790" s="684"/>
      <c r="T790" s="684"/>
      <c r="U790" s="687"/>
    </row>
    <row r="791" spans="1:21" ht="21">
      <c r="A791" s="751">
        <v>3.3</v>
      </c>
      <c r="B791" s="684" t="s">
        <v>706</v>
      </c>
      <c r="C791" s="684"/>
      <c r="D791" s="684"/>
      <c r="E791" s="684"/>
      <c r="F791" s="684"/>
      <c r="G791" s="684"/>
      <c r="H791" s="684"/>
      <c r="I791" s="684"/>
      <c r="J791" s="684"/>
      <c r="K791" s="684"/>
      <c r="L791" s="684"/>
      <c r="M791" s="684"/>
      <c r="N791" s="684"/>
      <c r="O791" s="684"/>
      <c r="P791" s="684"/>
      <c r="Q791" s="684"/>
      <c r="R791" s="684"/>
      <c r="S791" s="684"/>
      <c r="T791" s="684"/>
      <c r="U791" s="687">
        <v>4</v>
      </c>
    </row>
    <row r="793" spans="1:21" s="2" customFormat="1">
      <c r="A793" s="164">
        <v>19</v>
      </c>
    </row>
    <row r="794" spans="1:21" ht="14.65" thickBot="1"/>
    <row r="795" spans="1:21" ht="18.399999999999999" thickBot="1">
      <c r="A795" s="602" t="s">
        <v>644</v>
      </c>
      <c r="B795" s="603"/>
      <c r="C795" s="603"/>
      <c r="D795" s="603"/>
      <c r="E795" s="603"/>
      <c r="F795" s="604"/>
      <c r="G795" s="605"/>
      <c r="H795" s="605"/>
      <c r="I795" s="605"/>
      <c r="J795" s="605"/>
      <c r="K795" s="605"/>
      <c r="L795" s="606"/>
    </row>
    <row r="796" spans="1:21" ht="18.399999999999999" thickBot="1">
      <c r="A796" s="1104" t="s">
        <v>838</v>
      </c>
      <c r="B796" s="1105"/>
      <c r="C796" s="1105"/>
      <c r="D796" s="1105"/>
      <c r="E796" s="1105"/>
      <c r="F796" s="1105"/>
      <c r="G796" s="1105"/>
      <c r="H796" s="1105"/>
      <c r="I796" s="1105"/>
      <c r="J796" s="1105"/>
      <c r="K796" s="1105"/>
      <c r="L796" s="607">
        <v>4</v>
      </c>
    </row>
    <row r="797" spans="1:21" ht="18.399999999999999" thickBot="1">
      <c r="A797" s="1104" t="s">
        <v>794</v>
      </c>
      <c r="B797" s="1105"/>
      <c r="C797" s="1105"/>
      <c r="D797" s="1105"/>
      <c r="E797" s="1105"/>
      <c r="F797" s="1105"/>
      <c r="G797" s="1105"/>
      <c r="H797" s="1105"/>
      <c r="I797" s="1105"/>
      <c r="J797" s="1105"/>
      <c r="K797" s="1105"/>
      <c r="L797" s="608">
        <v>2</v>
      </c>
    </row>
    <row r="798" spans="1:21" ht="18.399999999999999" customHeight="1" thickBot="1">
      <c r="A798" s="1111" t="s">
        <v>795</v>
      </c>
      <c r="B798" s="1111"/>
      <c r="C798" s="1111"/>
      <c r="D798" s="1111"/>
      <c r="E798" s="1111"/>
      <c r="F798" s="1111"/>
      <c r="G798" s="1111"/>
      <c r="H798" s="1111"/>
      <c r="I798" s="1111"/>
      <c r="J798" s="1111"/>
      <c r="K798" s="1111"/>
      <c r="L798" s="607">
        <v>3</v>
      </c>
    </row>
    <row r="799" spans="1:21" ht="18">
      <c r="A799" s="973"/>
      <c r="B799" s="973"/>
      <c r="C799" s="973"/>
      <c r="D799" s="973"/>
      <c r="E799" s="973"/>
      <c r="F799" s="973"/>
      <c r="G799" s="973"/>
      <c r="H799" s="973"/>
      <c r="I799" s="973"/>
      <c r="J799" s="973"/>
      <c r="K799" s="973"/>
      <c r="L799" s="758"/>
    </row>
    <row r="800" spans="1:21" ht="18">
      <c r="A800" s="441"/>
      <c r="B800" s="441"/>
      <c r="C800" s="441"/>
      <c r="D800" s="441"/>
      <c r="E800" s="441"/>
      <c r="F800" s="441"/>
      <c r="G800" s="441"/>
      <c r="H800" s="441"/>
      <c r="I800" s="441"/>
      <c r="J800" s="441"/>
      <c r="K800" s="441"/>
      <c r="L800" s="758"/>
    </row>
    <row r="801" spans="1:12" ht="18">
      <c r="A801" s="441"/>
      <c r="B801" s="441"/>
      <c r="C801" s="441"/>
      <c r="D801" s="441"/>
      <c r="E801" s="441"/>
      <c r="F801" s="441"/>
      <c r="G801" s="441"/>
      <c r="H801" s="441"/>
      <c r="I801" s="441"/>
      <c r="J801" s="441"/>
      <c r="K801" s="441"/>
      <c r="L801" s="758"/>
    </row>
    <row r="802" spans="1:12" ht="18">
      <c r="A802" s="441"/>
      <c r="B802" s="441"/>
      <c r="C802" s="441"/>
      <c r="D802" s="441"/>
      <c r="E802" s="441"/>
      <c r="F802" s="441"/>
      <c r="G802" s="441"/>
      <c r="H802" s="441"/>
      <c r="I802" s="441"/>
      <c r="J802" s="441"/>
      <c r="K802" s="441"/>
      <c r="L802" s="758"/>
    </row>
    <row r="804" spans="1:12" s="2" customFormat="1">
      <c r="A804" s="164">
        <v>20</v>
      </c>
    </row>
    <row r="805" spans="1:12" ht="14.65" thickBot="1"/>
    <row r="806" spans="1:12" ht="18.399999999999999" thickBot="1">
      <c r="A806" s="602" t="s">
        <v>808</v>
      </c>
      <c r="B806" s="603"/>
      <c r="C806" s="603"/>
      <c r="D806" s="603"/>
      <c r="E806" s="603"/>
      <c r="F806" s="604"/>
      <c r="G806" s="605"/>
      <c r="H806" s="605"/>
      <c r="I806" s="605"/>
      <c r="J806" s="605"/>
      <c r="K806" s="605"/>
      <c r="L806" s="606"/>
    </row>
    <row r="807" spans="1:12" ht="18.399999999999999" customHeight="1" thickBot="1">
      <c r="A807" s="1111" t="s">
        <v>796</v>
      </c>
      <c r="B807" s="1111"/>
      <c r="C807" s="1111"/>
      <c r="D807" s="1111"/>
      <c r="E807" s="1111"/>
      <c r="F807" s="1111"/>
      <c r="G807" s="1111"/>
      <c r="H807" s="1111"/>
      <c r="I807" s="1111"/>
      <c r="J807" s="1111"/>
      <c r="K807" s="1111"/>
      <c r="L807" s="607">
        <v>3</v>
      </c>
    </row>
    <row r="808" spans="1:12" ht="18">
      <c r="A808" s="973"/>
      <c r="B808" s="973"/>
      <c r="C808" s="973"/>
      <c r="D808" s="973"/>
      <c r="E808" s="973"/>
      <c r="F808" s="973"/>
      <c r="G808" s="973"/>
      <c r="H808" s="973"/>
      <c r="I808" s="973"/>
      <c r="J808" s="973"/>
      <c r="K808" s="973"/>
      <c r="L808" s="758"/>
    </row>
    <row r="809" spans="1:12" ht="18">
      <c r="A809" s="760" t="s">
        <v>797</v>
      </c>
      <c r="B809" s="760" t="s">
        <v>103</v>
      </c>
      <c r="C809" s="761" t="s">
        <v>798</v>
      </c>
      <c r="D809" s="441"/>
      <c r="E809" s="441"/>
      <c r="F809" s="441"/>
      <c r="G809" s="441"/>
      <c r="H809" s="441"/>
      <c r="I809" s="441"/>
      <c r="J809" s="441"/>
      <c r="K809" s="441"/>
      <c r="L809" s="758"/>
    </row>
    <row r="810" spans="1:12" ht="18">
      <c r="A810" s="759">
        <v>25</v>
      </c>
      <c r="B810" s="759">
        <v>11.1</v>
      </c>
      <c r="C810" s="759">
        <v>10</v>
      </c>
      <c r="D810" s="441"/>
      <c r="E810" s="441"/>
      <c r="F810" s="441"/>
      <c r="G810" s="441"/>
      <c r="H810" s="441"/>
      <c r="I810" s="441"/>
      <c r="J810" s="441"/>
      <c r="K810" s="441"/>
      <c r="L810" s="758"/>
    </row>
    <row r="811" spans="1:12" ht="18.399999999999999" thickBot="1">
      <c r="A811" s="441"/>
      <c r="B811" s="441"/>
      <c r="C811" s="441"/>
      <c r="D811" s="441"/>
      <c r="E811" s="441"/>
      <c r="F811" s="441"/>
      <c r="G811" s="441"/>
      <c r="H811" s="441"/>
      <c r="I811" s="441"/>
      <c r="J811" s="441"/>
      <c r="K811" s="441"/>
      <c r="L811" s="758"/>
    </row>
    <row r="812" spans="1:12" ht="18.399999999999999" thickBot="1">
      <c r="A812" s="1104" t="s">
        <v>818</v>
      </c>
      <c r="B812" s="1105"/>
      <c r="C812" s="1105"/>
      <c r="D812" s="1105"/>
      <c r="E812" s="1105"/>
      <c r="F812" s="1105"/>
      <c r="G812" s="1105"/>
      <c r="H812" s="1105"/>
      <c r="I812" s="1105"/>
      <c r="J812" s="1105"/>
      <c r="K812" s="1105"/>
      <c r="L812" s="607">
        <v>3</v>
      </c>
    </row>
    <row r="813" spans="1:12" ht="18.399999999999999" thickBot="1">
      <c r="A813" s="1104" t="s">
        <v>799</v>
      </c>
      <c r="B813" s="1105"/>
      <c r="C813" s="1105"/>
      <c r="D813" s="1105"/>
      <c r="E813" s="1105"/>
      <c r="F813" s="1105"/>
      <c r="G813" s="1105"/>
      <c r="H813" s="1105"/>
      <c r="I813" s="1105"/>
      <c r="J813" s="1105"/>
      <c r="K813" s="1105"/>
      <c r="L813" s="608">
        <v>2</v>
      </c>
    </row>
    <row r="814" spans="1:12" ht="18.399999999999999" thickBot="1">
      <c r="A814" s="1104" t="s">
        <v>800</v>
      </c>
      <c r="B814" s="1105"/>
      <c r="C814" s="1105"/>
      <c r="D814" s="1105"/>
      <c r="E814" s="1105"/>
      <c r="F814" s="1105"/>
      <c r="G814" s="1105"/>
      <c r="H814" s="1105"/>
      <c r="I814" s="1105"/>
      <c r="J814" s="1105"/>
      <c r="K814" s="1105"/>
      <c r="L814" s="608">
        <v>3</v>
      </c>
    </row>
    <row r="815" spans="1:12" s="191" customFormat="1"/>
    <row r="816" spans="1:12" s="191" customFormat="1">
      <c r="A816" s="436" t="s">
        <v>6</v>
      </c>
      <c r="B816" s="78"/>
      <c r="D816" s="436" t="s">
        <v>307</v>
      </c>
      <c r="E816" s="78"/>
    </row>
    <row r="817" spans="1:12" s="191" customFormat="1">
      <c r="A817" s="78" t="s">
        <v>8</v>
      </c>
      <c r="B817" s="762">
        <v>100000</v>
      </c>
      <c r="D817" s="78" t="s">
        <v>803</v>
      </c>
      <c r="E817" s="762">
        <v>4000000</v>
      </c>
    </row>
    <row r="818" spans="1:12" s="191" customFormat="1">
      <c r="A818" s="78" t="s">
        <v>801</v>
      </c>
      <c r="B818" s="762">
        <v>1900000</v>
      </c>
      <c r="D818" s="78" t="s">
        <v>804</v>
      </c>
      <c r="E818" s="762">
        <v>3000000</v>
      </c>
    </row>
    <row r="819" spans="1:12" s="191" customFormat="1">
      <c r="A819" s="78" t="s">
        <v>284</v>
      </c>
      <c r="B819" s="762">
        <v>3000000</v>
      </c>
      <c r="D819" s="78" t="s">
        <v>805</v>
      </c>
      <c r="E819" s="762">
        <v>2000000</v>
      </c>
    </row>
    <row r="820" spans="1:12" s="191" customFormat="1">
      <c r="A820" s="78" t="s">
        <v>802</v>
      </c>
      <c r="B820" s="762">
        <v>100000</v>
      </c>
      <c r="D820" s="78" t="s">
        <v>806</v>
      </c>
      <c r="E820" s="762">
        <v>100000</v>
      </c>
    </row>
    <row r="821" spans="1:12" s="191" customFormat="1">
      <c r="A821" s="78" t="s">
        <v>14</v>
      </c>
      <c r="B821" s="762">
        <v>3000000</v>
      </c>
      <c r="D821" s="78" t="s">
        <v>860</v>
      </c>
      <c r="E821" s="762">
        <v>1000000</v>
      </c>
    </row>
    <row r="822" spans="1:12" s="191" customFormat="1" ht="14.65" thickBot="1"/>
    <row r="823" spans="1:12" ht="18.399999999999999" thickBot="1">
      <c r="A823" s="1104" t="s">
        <v>807</v>
      </c>
      <c r="B823" s="1105"/>
      <c r="C823" s="1105"/>
      <c r="D823" s="1105"/>
      <c r="E823" s="1105"/>
      <c r="F823" s="1105"/>
      <c r="G823" s="1105"/>
      <c r="H823" s="1105"/>
      <c r="I823" s="1105"/>
      <c r="J823" s="1105"/>
      <c r="K823" s="1105"/>
      <c r="L823" s="608">
        <v>3</v>
      </c>
    </row>
    <row r="825" spans="1:12" s="2" customFormat="1">
      <c r="A825" s="164">
        <v>21</v>
      </c>
    </row>
    <row r="826" spans="1:12" ht="14.65" thickBot="1"/>
    <row r="827" spans="1:12" ht="18.399999999999999" thickBot="1">
      <c r="A827" s="602" t="s">
        <v>808</v>
      </c>
      <c r="B827" s="603"/>
      <c r="C827" s="603"/>
      <c r="D827" s="603"/>
      <c r="E827" s="603"/>
      <c r="F827" s="604"/>
      <c r="G827" s="605"/>
      <c r="H827" s="605"/>
      <c r="I827" s="605"/>
      <c r="J827" s="605"/>
      <c r="K827" s="605"/>
      <c r="L827" s="606"/>
    </row>
    <row r="828" spans="1:12" ht="18.399999999999999" customHeight="1" thickBot="1">
      <c r="A828" s="1111" t="s">
        <v>848</v>
      </c>
      <c r="B828" s="1111"/>
      <c r="C828" s="1111"/>
      <c r="D828" s="1111"/>
      <c r="E828" s="1111"/>
      <c r="F828" s="1111"/>
      <c r="G828" s="1111"/>
      <c r="H828" s="1111"/>
      <c r="I828" s="1111"/>
      <c r="J828" s="1111"/>
      <c r="K828" s="1111"/>
      <c r="L828" s="607">
        <v>3</v>
      </c>
    </row>
    <row r="829" spans="1:12" ht="18">
      <c r="A829" s="973"/>
      <c r="B829" s="973"/>
      <c r="C829" s="973"/>
      <c r="D829" s="973"/>
      <c r="E829" s="973"/>
      <c r="F829" s="973"/>
      <c r="G829" s="973"/>
      <c r="H829" s="973"/>
      <c r="I829" s="973"/>
      <c r="J829" s="973"/>
      <c r="K829" s="973"/>
      <c r="L829" s="758"/>
    </row>
    <row r="830" spans="1:12" ht="18">
      <c r="A830" s="760" t="s">
        <v>845</v>
      </c>
      <c r="B830" s="760" t="s">
        <v>846</v>
      </c>
      <c r="C830" s="761" t="s">
        <v>847</v>
      </c>
      <c r="D830" s="441"/>
      <c r="E830" s="441"/>
      <c r="F830" s="441"/>
      <c r="G830" s="441"/>
      <c r="H830" s="441"/>
      <c r="I830" s="441"/>
      <c r="J830" s="441"/>
      <c r="K830" s="441"/>
      <c r="L830" s="758"/>
    </row>
    <row r="831" spans="1:12" ht="18">
      <c r="A831" s="759">
        <v>12</v>
      </c>
      <c r="B831" s="759">
        <v>20</v>
      </c>
      <c r="C831" s="759">
        <v>41</v>
      </c>
      <c r="D831" s="441"/>
      <c r="E831" s="441"/>
      <c r="F831" s="441"/>
      <c r="G831" s="441"/>
      <c r="H831" s="441"/>
      <c r="I831" s="441"/>
      <c r="J831" s="441"/>
      <c r="K831" s="441"/>
      <c r="L831" s="758"/>
    </row>
    <row r="832" spans="1:12" ht="18.399999999999999" thickBot="1">
      <c r="A832" s="441"/>
      <c r="B832" s="441"/>
      <c r="C832" s="441"/>
      <c r="D832" s="441"/>
      <c r="E832" s="441"/>
      <c r="F832" s="441"/>
      <c r="G832" s="441"/>
      <c r="H832" s="441"/>
      <c r="I832" s="441"/>
      <c r="J832" s="441"/>
      <c r="K832" s="441"/>
      <c r="L832" s="758"/>
    </row>
    <row r="833" spans="1:12" ht="18.399999999999999" thickBot="1">
      <c r="A833" s="1104" t="s">
        <v>849</v>
      </c>
      <c r="B833" s="1105"/>
      <c r="C833" s="1105"/>
      <c r="D833" s="1105"/>
      <c r="E833" s="1105"/>
      <c r="F833" s="1105"/>
      <c r="G833" s="1105"/>
      <c r="H833" s="1105"/>
      <c r="I833" s="1105"/>
      <c r="J833" s="1105"/>
      <c r="K833" s="1105"/>
      <c r="L833" s="607">
        <v>3</v>
      </c>
    </row>
    <row r="834" spans="1:12" ht="18.399999999999999" thickBot="1">
      <c r="A834" s="1104" t="s">
        <v>850</v>
      </c>
      <c r="B834" s="1105"/>
      <c r="C834" s="1105"/>
      <c r="D834" s="1105"/>
      <c r="E834" s="1105"/>
      <c r="F834" s="1105"/>
      <c r="G834" s="1105"/>
      <c r="H834" s="1105"/>
      <c r="I834" s="1105"/>
      <c r="J834" s="1105"/>
      <c r="K834" s="1105"/>
      <c r="L834" s="608">
        <v>2</v>
      </c>
    </row>
    <row r="839" spans="1:12">
      <c r="A839" s="788"/>
    </row>
    <row r="841" spans="1:12">
      <c r="A841" s="788"/>
    </row>
  </sheetData>
  <mergeCells count="66">
    <mergeCell ref="A828:K829"/>
    <mergeCell ref="A833:K833"/>
    <mergeCell ref="A834:K834"/>
    <mergeCell ref="A812:K812"/>
    <mergeCell ref="A813:K813"/>
    <mergeCell ref="A807:K808"/>
    <mergeCell ref="A814:K814"/>
    <mergeCell ref="A823:K823"/>
    <mergeCell ref="A796:K796"/>
    <mergeCell ref="A797:K797"/>
    <mergeCell ref="A798:K799"/>
    <mergeCell ref="A688:K688"/>
    <mergeCell ref="A689:K689"/>
    <mergeCell ref="A740:K740"/>
    <mergeCell ref="A741:K741"/>
    <mergeCell ref="A742:K742"/>
    <mergeCell ref="A743:K743"/>
    <mergeCell ref="A694:G695"/>
    <mergeCell ref="A719:F719"/>
    <mergeCell ref="A735:L735"/>
    <mergeCell ref="A736:L736"/>
    <mergeCell ref="A737:L737"/>
    <mergeCell ref="A635:G636"/>
    <mergeCell ref="A663:F663"/>
    <mergeCell ref="A685:K685"/>
    <mergeCell ref="A686:K686"/>
    <mergeCell ref="A687:K687"/>
    <mergeCell ref="A503:G504"/>
    <mergeCell ref="A526:F526"/>
    <mergeCell ref="A558:K558"/>
    <mergeCell ref="A559:K559"/>
    <mergeCell ref="A563:K563"/>
    <mergeCell ref="A564:K564"/>
    <mergeCell ref="A446:L447"/>
    <mergeCell ref="A291:L297"/>
    <mergeCell ref="A396:K396"/>
    <mergeCell ref="A397:K397"/>
    <mergeCell ref="A398:K398"/>
    <mergeCell ref="A367:K367"/>
    <mergeCell ref="A368:K368"/>
    <mergeCell ref="A420:E423"/>
    <mergeCell ref="A433:L441"/>
    <mergeCell ref="A405:K405"/>
    <mergeCell ref="A404:K404"/>
    <mergeCell ref="A399:K399"/>
    <mergeCell ref="A448:L448"/>
    <mergeCell ref="A449:K449"/>
    <mergeCell ref="A450:I450"/>
    <mergeCell ref="B4:B5"/>
    <mergeCell ref="C4:C5"/>
    <mergeCell ref="A22:L25"/>
    <mergeCell ref="A60:L67"/>
    <mergeCell ref="A138:L142"/>
    <mergeCell ref="A211:L217"/>
    <mergeCell ref="A246:L246"/>
    <mergeCell ref="A247:L247"/>
    <mergeCell ref="A248:L248"/>
    <mergeCell ref="A249:L250"/>
    <mergeCell ref="A627:K627"/>
    <mergeCell ref="A628:K628"/>
    <mergeCell ref="A629:K629"/>
    <mergeCell ref="A570:G571"/>
    <mergeCell ref="A593:F593"/>
    <mergeCell ref="A624:K624"/>
    <mergeCell ref="A625:K625"/>
    <mergeCell ref="A626:K626"/>
  </mergeCells>
  <hyperlinks>
    <hyperlink ref="A13" r:id="rId1" display="https://www.gurufocus.com/stock/GHG/summary" xr:uid="{00000000-0004-0000-0200-000000000000}"/>
    <hyperlink ref="A12" r:id="rId2" display="https://www.gurufocus.com/stock/STAY/summary" xr:uid="{00000000-0004-0000-0200-000001000000}"/>
    <hyperlink ref="A11" r:id="rId3" display="https://www.gurufocus.com/stock/WH/summary" xr:uid="{00000000-0004-0000-0200-000002000000}"/>
    <hyperlink ref="A10" r:id="rId4" display="https://www.gurufocus.com/stock/CHH/summary" xr:uid="{00000000-0004-0000-0200-000003000000}"/>
    <hyperlink ref="A9" r:id="rId5" display="https://www.gurufocus.com/stock/H/summary" xr:uid="{00000000-0004-0000-0200-000004000000}"/>
    <hyperlink ref="A8" r:id="rId6" display="https://www.gurufocus.com/stock/HTHT/summary" xr:uid="{00000000-0004-0000-0200-000005000000}"/>
    <hyperlink ref="A7" r:id="rId7" display="https://www.gurufocus.com/stock/MAR/summary" xr:uid="{00000000-0004-0000-0200-000006000000}"/>
    <hyperlink ref="A6" r:id="rId8" display="https://www.gurufocus.com/stock/HLT/summary" xr:uid="{00000000-0004-0000-0200-000007000000}"/>
  </hyperlinks>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451"/>
  <sheetViews>
    <sheetView topLeftCell="A421" zoomScale="78" zoomScaleNormal="85" workbookViewId="0">
      <selection activeCell="A49" sqref="A49"/>
    </sheetView>
  </sheetViews>
  <sheetFormatPr defaultRowHeight="14.25"/>
  <cols>
    <col min="1" max="1" width="36.59765625" customWidth="1"/>
    <col min="2" max="2" width="63.73046875" bestFit="1" customWidth="1"/>
    <col min="3" max="3" width="17.86328125" bestFit="1" customWidth="1"/>
    <col min="4" max="4" width="25.1328125" bestFit="1" customWidth="1"/>
    <col min="5" max="5" width="31" customWidth="1"/>
    <col min="6" max="6" width="20.265625" bestFit="1" customWidth="1"/>
    <col min="7" max="7" width="26.265625" bestFit="1" customWidth="1"/>
    <col min="8" max="8" width="11.86328125" bestFit="1" customWidth="1"/>
    <col min="9" max="9" width="22.86328125" bestFit="1" customWidth="1"/>
    <col min="10" max="11" width="11.86328125" bestFit="1" customWidth="1"/>
    <col min="13" max="14" width="12" bestFit="1" customWidth="1"/>
  </cols>
  <sheetData>
    <row r="1" spans="1:12" s="163" customFormat="1">
      <c r="A1" s="164">
        <v>1</v>
      </c>
    </row>
    <row r="2" spans="1:12">
      <c r="A2" s="9"/>
      <c r="B2" s="112" t="s">
        <v>229</v>
      </c>
      <c r="C2" s="112"/>
      <c r="D2" s="112"/>
      <c r="E2" s="112"/>
      <c r="F2" s="112"/>
      <c r="G2" s="112"/>
      <c r="H2" s="9"/>
      <c r="I2" s="9"/>
      <c r="J2" s="9"/>
      <c r="K2" s="9"/>
      <c r="L2" s="9"/>
    </row>
    <row r="3" spans="1:12">
      <c r="A3" s="9"/>
      <c r="B3" s="112" t="s">
        <v>230</v>
      </c>
      <c r="C3" s="112"/>
      <c r="D3" s="112" t="s">
        <v>231</v>
      </c>
      <c r="E3" s="112" t="s">
        <v>232</v>
      </c>
      <c r="F3" s="112" t="s">
        <v>233</v>
      </c>
      <c r="G3" s="112"/>
      <c r="H3" s="9"/>
      <c r="I3" s="9"/>
      <c r="J3" s="9"/>
      <c r="K3" s="9"/>
      <c r="L3" s="9"/>
    </row>
    <row r="4" spans="1:12">
      <c r="A4" s="9"/>
      <c r="B4" s="112" t="s">
        <v>234</v>
      </c>
      <c r="C4" s="112"/>
      <c r="D4" s="112">
        <v>9825</v>
      </c>
      <c r="E4" s="112">
        <v>9900</v>
      </c>
      <c r="F4" s="112">
        <v>7500</v>
      </c>
      <c r="G4" s="112"/>
      <c r="H4" s="9"/>
      <c r="I4" s="9"/>
      <c r="J4" s="9"/>
      <c r="K4" s="9"/>
      <c r="L4" s="9"/>
    </row>
    <row r="5" spans="1:12">
      <c r="A5" s="9"/>
      <c r="B5" s="112" t="s">
        <v>235</v>
      </c>
      <c r="C5" s="112"/>
      <c r="D5" s="112"/>
      <c r="E5" s="112"/>
      <c r="F5" s="112"/>
      <c r="G5" s="112"/>
      <c r="H5" s="9"/>
      <c r="I5" s="9"/>
      <c r="J5" s="9"/>
      <c r="K5" s="9"/>
      <c r="L5" s="9"/>
    </row>
    <row r="6" spans="1:12">
      <c r="A6" s="9"/>
      <c r="B6" s="112" t="s">
        <v>236</v>
      </c>
      <c r="C6" s="112"/>
      <c r="D6" s="112">
        <v>18831.25</v>
      </c>
      <c r="E6" s="112">
        <v>19374.193548387095</v>
      </c>
      <c r="F6" s="112">
        <v>14583.333333333334</v>
      </c>
      <c r="G6" s="112"/>
      <c r="H6" s="9"/>
      <c r="I6" s="9"/>
      <c r="J6" s="9"/>
      <c r="K6" s="9"/>
      <c r="L6" s="9"/>
    </row>
    <row r="7" spans="1:12">
      <c r="B7" s="1" t="s">
        <v>237</v>
      </c>
      <c r="C7" s="1"/>
      <c r="D7" s="1">
        <v>1506.5</v>
      </c>
      <c r="E7" s="1">
        <v>1549.9354838709676</v>
      </c>
      <c r="F7" s="1">
        <v>1166.6666666666667</v>
      </c>
      <c r="G7" s="1"/>
    </row>
    <row r="8" spans="1:12" ht="14.65" customHeight="1">
      <c r="A8" s="1127" t="s">
        <v>238</v>
      </c>
      <c r="B8" s="1080"/>
      <c r="C8" s="1080"/>
      <c r="D8" s="1080"/>
      <c r="E8" s="1080"/>
      <c r="F8" s="1080"/>
      <c r="G8" s="1080"/>
      <c r="H8" s="1080"/>
      <c r="I8" s="1080"/>
      <c r="J8" s="1080"/>
      <c r="K8" s="1080"/>
      <c r="L8" s="1081"/>
    </row>
    <row r="9" spans="1:12" ht="14.65" customHeight="1">
      <c r="A9" s="1082"/>
      <c r="B9" s="1083"/>
      <c r="C9" s="1083"/>
      <c r="D9" s="1083"/>
      <c r="E9" s="1083"/>
      <c r="F9" s="1083"/>
      <c r="G9" s="1083"/>
      <c r="H9" s="1083"/>
      <c r="I9" s="1083"/>
      <c r="J9" s="1083"/>
      <c r="K9" s="1083"/>
      <c r="L9" s="1084"/>
    </row>
    <row r="10" spans="1:12" ht="14.65" customHeight="1">
      <c r="A10" s="1082"/>
      <c r="B10" s="1083"/>
      <c r="C10" s="1083"/>
      <c r="D10" s="1083"/>
      <c r="E10" s="1083"/>
      <c r="F10" s="1083"/>
      <c r="G10" s="1083"/>
      <c r="H10" s="1083"/>
      <c r="I10" s="1083"/>
      <c r="J10" s="1083"/>
      <c r="K10" s="1083"/>
      <c r="L10" s="1084"/>
    </row>
    <row r="11" spans="1:12" ht="14.65" customHeight="1">
      <c r="A11" s="1082"/>
      <c r="B11" s="1083"/>
      <c r="C11" s="1083"/>
      <c r="D11" s="1083"/>
      <c r="E11" s="1083"/>
      <c r="F11" s="1083"/>
      <c r="G11" s="1083"/>
      <c r="H11" s="1083"/>
      <c r="I11" s="1083"/>
      <c r="J11" s="1083"/>
      <c r="K11" s="1083"/>
      <c r="L11" s="1084"/>
    </row>
    <row r="12" spans="1:12" ht="14.65" customHeight="1">
      <c r="A12" s="1082"/>
      <c r="B12" s="1083"/>
      <c r="C12" s="1083"/>
      <c r="D12" s="1083"/>
      <c r="E12" s="1083"/>
      <c r="F12" s="1083"/>
      <c r="G12" s="1083"/>
      <c r="H12" s="1083"/>
      <c r="I12" s="1083"/>
      <c r="J12" s="1083"/>
      <c r="K12" s="1083"/>
      <c r="L12" s="1084"/>
    </row>
    <row r="13" spans="1:12" ht="14.65" customHeight="1">
      <c r="A13" s="1085"/>
      <c r="B13" s="1086"/>
      <c r="C13" s="1086"/>
      <c r="D13" s="1086"/>
      <c r="E13" s="1086"/>
      <c r="F13" s="1086"/>
      <c r="G13" s="1086"/>
      <c r="H13" s="1086"/>
      <c r="I13" s="1086"/>
      <c r="J13" s="1086"/>
      <c r="K13" s="1086"/>
      <c r="L13" s="1087"/>
    </row>
    <row r="16" spans="1:12" s="2" customFormat="1">
      <c r="A16" s="164">
        <v>2</v>
      </c>
    </row>
    <row r="18" spans="1:12" ht="16.149999999999999" thickBot="1">
      <c r="A18" s="79" t="s">
        <v>67</v>
      </c>
      <c r="B18" s="10"/>
      <c r="C18" s="10"/>
      <c r="D18" s="10"/>
      <c r="E18" s="10"/>
      <c r="F18" s="10"/>
      <c r="G18" s="10"/>
      <c r="H18" s="10"/>
      <c r="I18" s="10"/>
      <c r="J18" s="10"/>
      <c r="K18" s="10"/>
      <c r="L18" s="10"/>
    </row>
    <row r="19" spans="1:12" ht="14.65" thickBot="1">
      <c r="A19" s="80" t="s">
        <v>240</v>
      </c>
      <c r="B19" s="81" t="s">
        <v>241</v>
      </c>
      <c r="C19" s="81" t="s">
        <v>242</v>
      </c>
      <c r="D19" s="81" t="s">
        <v>243</v>
      </c>
      <c r="E19" s="10"/>
      <c r="F19" s="10"/>
      <c r="G19" s="10"/>
      <c r="H19" s="10"/>
      <c r="I19" s="10"/>
      <c r="J19" s="10"/>
      <c r="K19" s="10"/>
      <c r="L19" s="10"/>
    </row>
    <row r="20" spans="1:12" ht="14.65" thickBot="1">
      <c r="A20" s="82" t="s">
        <v>244</v>
      </c>
      <c r="B20" s="83">
        <v>180000</v>
      </c>
      <c r="C20" s="83">
        <v>200000</v>
      </c>
      <c r="D20" s="83">
        <v>160000</v>
      </c>
      <c r="E20" s="10"/>
      <c r="F20" s="10"/>
      <c r="G20" s="10"/>
      <c r="H20" s="10"/>
      <c r="I20" s="10"/>
      <c r="J20" s="10"/>
      <c r="K20" s="10"/>
      <c r="L20" s="10"/>
    </row>
    <row r="21" spans="1:12" ht="14.65" thickBot="1">
      <c r="A21" s="82" t="s">
        <v>245</v>
      </c>
      <c r="B21" s="83">
        <v>140000</v>
      </c>
      <c r="C21" s="83">
        <v>260000</v>
      </c>
      <c r="D21" s="83">
        <v>80000</v>
      </c>
      <c r="E21" s="10"/>
      <c r="F21" s="10"/>
      <c r="G21" s="10"/>
      <c r="H21" s="10"/>
      <c r="I21" s="10"/>
      <c r="J21" s="10"/>
      <c r="K21" s="10"/>
      <c r="L21" s="10"/>
    </row>
    <row r="22" spans="1:12">
      <c r="A22" s="84" t="s">
        <v>246</v>
      </c>
      <c r="B22" s="83">
        <v>320000</v>
      </c>
      <c r="C22" s="83">
        <v>460000</v>
      </c>
      <c r="D22" s="83">
        <v>240000</v>
      </c>
      <c r="E22" s="10"/>
      <c r="F22" s="10"/>
      <c r="G22" s="10"/>
      <c r="H22" s="10"/>
      <c r="I22" s="10"/>
      <c r="J22" s="10"/>
      <c r="K22" s="10"/>
      <c r="L22" s="10"/>
    </row>
    <row r="23" spans="1:12">
      <c r="A23" s="85" t="s">
        <v>247</v>
      </c>
      <c r="B23" s="86">
        <v>0.03</v>
      </c>
      <c r="C23" s="10"/>
      <c r="D23" s="10"/>
      <c r="E23" s="10"/>
      <c r="F23" s="10"/>
      <c r="G23" s="10"/>
      <c r="H23" s="10"/>
      <c r="I23" s="10"/>
      <c r="J23" s="10"/>
      <c r="K23" s="10"/>
      <c r="L23" s="10"/>
    </row>
    <row r="24" spans="1:12">
      <c r="A24" s="85" t="s">
        <v>248</v>
      </c>
      <c r="B24" s="87" t="s">
        <v>249</v>
      </c>
      <c r="C24" s="10"/>
      <c r="D24" s="10"/>
      <c r="E24" s="10"/>
      <c r="F24" s="10"/>
      <c r="G24" s="10"/>
      <c r="H24" s="10"/>
      <c r="I24" s="10"/>
      <c r="J24" s="10"/>
      <c r="K24" s="10"/>
      <c r="L24" s="10"/>
    </row>
    <row r="25" spans="1:12">
      <c r="A25" s="10"/>
      <c r="B25" s="10"/>
      <c r="C25" s="10"/>
      <c r="D25" s="10"/>
      <c r="E25" s="10"/>
      <c r="F25" s="10"/>
      <c r="G25" s="10"/>
      <c r="H25" s="10"/>
      <c r="I25" s="10"/>
      <c r="J25" s="10"/>
      <c r="K25" s="10"/>
      <c r="L25" s="10"/>
    </row>
    <row r="26" spans="1:12">
      <c r="A26" s="10"/>
      <c r="B26" s="10"/>
      <c r="C26" s="10"/>
      <c r="D26" s="10"/>
      <c r="E26" s="10"/>
      <c r="F26" s="10"/>
      <c r="G26" s="10"/>
      <c r="H26" s="10"/>
      <c r="I26" s="10"/>
      <c r="J26" s="10"/>
      <c r="K26" s="10"/>
      <c r="L26" s="10"/>
    </row>
    <row r="27" spans="1:12" ht="14.65" customHeight="1">
      <c r="A27" s="987" t="s">
        <v>837</v>
      </c>
      <c r="B27" s="988"/>
      <c r="C27" s="988"/>
      <c r="D27" s="988"/>
      <c r="E27" s="988"/>
      <c r="F27" s="988"/>
      <c r="G27" s="988"/>
      <c r="H27" s="988"/>
      <c r="I27" s="988"/>
      <c r="J27" s="988"/>
      <c r="K27" s="988"/>
      <c r="L27" s="989"/>
    </row>
    <row r="28" spans="1:12">
      <c r="A28" s="990"/>
      <c r="B28" s="981"/>
      <c r="C28" s="981"/>
      <c r="D28" s="981"/>
      <c r="E28" s="981"/>
      <c r="F28" s="981"/>
      <c r="G28" s="981"/>
      <c r="H28" s="981"/>
      <c r="I28" s="981"/>
      <c r="J28" s="981"/>
      <c r="K28" s="981"/>
      <c r="L28" s="991"/>
    </row>
    <row r="29" spans="1:12">
      <c r="A29" s="990"/>
      <c r="B29" s="981"/>
      <c r="C29" s="981"/>
      <c r="D29" s="981"/>
      <c r="E29" s="981"/>
      <c r="F29" s="981"/>
      <c r="G29" s="981"/>
      <c r="H29" s="981"/>
      <c r="I29" s="981"/>
      <c r="J29" s="981"/>
      <c r="K29" s="981"/>
      <c r="L29" s="991"/>
    </row>
    <row r="30" spans="1:12">
      <c r="A30" s="990"/>
      <c r="B30" s="981"/>
      <c r="C30" s="981"/>
      <c r="D30" s="981"/>
      <c r="E30" s="981"/>
      <c r="F30" s="981"/>
      <c r="G30" s="981"/>
      <c r="H30" s="981"/>
      <c r="I30" s="981"/>
      <c r="J30" s="981"/>
      <c r="K30" s="981"/>
      <c r="L30" s="991"/>
    </row>
    <row r="31" spans="1:12">
      <c r="A31" s="990"/>
      <c r="B31" s="981"/>
      <c r="C31" s="981"/>
      <c r="D31" s="981"/>
      <c r="E31" s="981"/>
      <c r="F31" s="981"/>
      <c r="G31" s="981"/>
      <c r="H31" s="981"/>
      <c r="I31" s="981"/>
      <c r="J31" s="981"/>
      <c r="K31" s="981"/>
      <c r="L31" s="991"/>
    </row>
    <row r="32" spans="1:12">
      <c r="A32" s="990"/>
      <c r="B32" s="981"/>
      <c r="C32" s="981"/>
      <c r="D32" s="981"/>
      <c r="E32" s="981"/>
      <c r="F32" s="981"/>
      <c r="G32" s="981"/>
      <c r="H32" s="981"/>
      <c r="I32" s="981"/>
      <c r="J32" s="981"/>
      <c r="K32" s="981"/>
      <c r="L32" s="991"/>
    </row>
    <row r="33" spans="1:12">
      <c r="A33" s="990"/>
      <c r="B33" s="981"/>
      <c r="C33" s="981"/>
      <c r="D33" s="981"/>
      <c r="E33" s="981"/>
      <c r="F33" s="981"/>
      <c r="G33" s="981"/>
      <c r="H33" s="981"/>
      <c r="I33" s="981"/>
      <c r="J33" s="981"/>
      <c r="K33" s="981"/>
      <c r="L33" s="991"/>
    </row>
    <row r="34" spans="1:12">
      <c r="A34" s="88"/>
      <c r="B34" s="89"/>
      <c r="C34" s="89"/>
      <c r="D34" s="89"/>
      <c r="E34" s="89"/>
      <c r="F34" s="89"/>
      <c r="G34" s="89"/>
      <c r="H34" s="89"/>
      <c r="I34" s="89"/>
      <c r="J34" s="89"/>
      <c r="K34" s="89"/>
      <c r="L34" s="90"/>
    </row>
    <row r="41" spans="1:12" s="2" customFormat="1">
      <c r="A41" s="164">
        <v>3</v>
      </c>
    </row>
    <row r="43" spans="1:12" ht="15.75">
      <c r="A43" s="141" t="s">
        <v>250</v>
      </c>
      <c r="B43" s="142"/>
      <c r="C43" s="142"/>
      <c r="D43" s="142"/>
      <c r="E43" s="139"/>
      <c r="F43" s="5"/>
      <c r="G43" s="5"/>
      <c r="H43" s="5"/>
      <c r="I43" s="5"/>
      <c r="J43" s="5"/>
      <c r="K43" s="5"/>
      <c r="L43" s="5"/>
    </row>
    <row r="44" spans="1:12" ht="15.75">
      <c r="A44" s="5"/>
      <c r="B44" s="4"/>
      <c r="C44" s="4"/>
      <c r="D44" s="137">
        <v>2018</v>
      </c>
      <c r="E44" s="137">
        <v>2019</v>
      </c>
      <c r="F44" s="5"/>
      <c r="G44" s="5"/>
      <c r="H44" s="5"/>
      <c r="I44" s="5"/>
      <c r="J44" s="5"/>
      <c r="K44" s="5"/>
      <c r="L44" s="5"/>
    </row>
    <row r="45" spans="1:12" ht="15.75">
      <c r="A45" s="5"/>
      <c r="B45" s="4"/>
      <c r="C45" s="4"/>
      <c r="D45" s="5"/>
      <c r="E45" s="5"/>
      <c r="F45" s="5"/>
      <c r="G45" s="5"/>
      <c r="H45" s="5"/>
      <c r="I45" s="5"/>
      <c r="J45" s="5"/>
      <c r="K45" s="5"/>
      <c r="L45" s="5"/>
    </row>
    <row r="46" spans="1:12" ht="15.75">
      <c r="A46" s="5" t="s">
        <v>92</v>
      </c>
      <c r="B46" s="4"/>
      <c r="C46" s="4"/>
      <c r="D46" s="143">
        <v>3198</v>
      </c>
      <c r="E46" s="143">
        <v>2865</v>
      </c>
      <c r="F46" s="5"/>
      <c r="G46" s="5"/>
      <c r="H46" s="5"/>
      <c r="I46" s="5"/>
      <c r="J46" s="5"/>
      <c r="K46" s="5"/>
      <c r="L46" s="5"/>
    </row>
    <row r="47" spans="1:12" ht="15.75">
      <c r="A47" s="5" t="s">
        <v>251</v>
      </c>
      <c r="B47" s="4"/>
      <c r="C47" s="4"/>
      <c r="D47" s="143">
        <v>485</v>
      </c>
      <c r="E47" s="143">
        <v>699</v>
      </c>
      <c r="F47" s="5"/>
      <c r="G47" s="5"/>
      <c r="H47" s="5"/>
      <c r="I47" s="5"/>
      <c r="J47" s="5"/>
      <c r="K47" s="5"/>
      <c r="L47" s="5"/>
    </row>
    <row r="48" spans="1:12" ht="15.75">
      <c r="A48" s="5" t="s">
        <v>252</v>
      </c>
      <c r="B48" s="4"/>
      <c r="C48" s="4"/>
      <c r="D48" s="144">
        <v>-319</v>
      </c>
      <c r="E48" s="144">
        <v>-323</v>
      </c>
      <c r="F48" s="5"/>
      <c r="G48" s="5"/>
      <c r="H48" s="5"/>
      <c r="I48" s="5"/>
      <c r="J48" s="5"/>
      <c r="K48" s="5"/>
      <c r="L48" s="5"/>
    </row>
    <row r="49" spans="1:12" ht="15.75">
      <c r="A49" s="5" t="s">
        <v>253</v>
      </c>
      <c r="B49" s="4"/>
      <c r="C49" s="4"/>
      <c r="D49" s="143">
        <v>730</v>
      </c>
      <c r="E49" s="157">
        <v>-158</v>
      </c>
      <c r="F49" s="5"/>
      <c r="G49" s="5"/>
      <c r="H49" s="5"/>
      <c r="I49" s="5"/>
      <c r="J49" s="5"/>
      <c r="K49" s="5"/>
      <c r="L49" s="5"/>
    </row>
    <row r="50" spans="1:12" ht="15.75">
      <c r="A50" s="5" t="s">
        <v>254</v>
      </c>
      <c r="B50" s="4"/>
      <c r="C50" s="4"/>
      <c r="D50" s="143"/>
      <c r="E50" s="140"/>
      <c r="F50" s="5"/>
      <c r="G50" s="5"/>
      <c r="H50" s="5"/>
      <c r="I50" s="5"/>
      <c r="J50" s="5"/>
      <c r="K50" s="5"/>
      <c r="L50" s="5"/>
    </row>
    <row r="51" spans="1:12" ht="15.75">
      <c r="A51" s="5" t="s">
        <v>255</v>
      </c>
      <c r="B51" s="4"/>
      <c r="C51" s="4"/>
      <c r="D51" s="154">
        <v>444</v>
      </c>
      <c r="E51" s="157">
        <v>-218</v>
      </c>
      <c r="F51" s="5"/>
      <c r="G51" s="5"/>
      <c r="H51" s="5"/>
      <c r="I51" s="5"/>
      <c r="J51" s="5"/>
      <c r="K51" s="5"/>
      <c r="L51" s="5"/>
    </row>
    <row r="52" spans="1:12" ht="15.75">
      <c r="A52" s="145" t="s">
        <v>256</v>
      </c>
      <c r="B52" s="27"/>
      <c r="C52" s="27"/>
      <c r="D52" s="146">
        <v>3338</v>
      </c>
      <c r="E52" s="146">
        <v>2865</v>
      </c>
      <c r="F52" s="5"/>
      <c r="G52" s="5"/>
      <c r="H52" s="5"/>
      <c r="I52" s="5"/>
      <c r="J52" s="5"/>
      <c r="K52" s="5"/>
      <c r="L52" s="5"/>
    </row>
    <row r="53" spans="1:12" ht="15.75">
      <c r="A53" s="147"/>
      <c r="B53" s="4"/>
      <c r="C53" s="4"/>
      <c r="D53" s="148"/>
      <c r="E53" s="148"/>
      <c r="F53" s="5"/>
      <c r="G53" s="5"/>
      <c r="H53" s="5"/>
      <c r="I53" s="5"/>
      <c r="J53" s="5"/>
      <c r="K53" s="5"/>
      <c r="L53" s="5"/>
    </row>
    <row r="54" spans="1:12" ht="15.75">
      <c r="A54" s="5" t="s">
        <v>257</v>
      </c>
      <c r="B54" s="4"/>
      <c r="C54" s="4"/>
      <c r="D54" s="154">
        <v>1000</v>
      </c>
      <c r="E54" s="154">
        <v>1200</v>
      </c>
      <c r="F54" s="5"/>
      <c r="G54" s="5"/>
      <c r="H54" s="5"/>
      <c r="I54" s="5"/>
      <c r="J54" s="5"/>
      <c r="K54" s="5"/>
      <c r="L54" s="5"/>
    </row>
    <row r="55" spans="1:12" ht="15.75">
      <c r="A55" s="5" t="s">
        <v>258</v>
      </c>
      <c r="B55" s="4"/>
      <c r="C55" s="4"/>
      <c r="D55" s="154">
        <v>200</v>
      </c>
      <c r="E55" s="154">
        <v>220</v>
      </c>
      <c r="F55" s="5"/>
      <c r="G55" s="5"/>
      <c r="H55" s="5"/>
      <c r="I55" s="5"/>
      <c r="J55" s="5"/>
      <c r="K55" s="5"/>
      <c r="L55" s="5"/>
    </row>
    <row r="56" spans="1:12" ht="15.75">
      <c r="A56" s="4" t="s">
        <v>259</v>
      </c>
      <c r="B56" s="4"/>
      <c r="C56" s="4"/>
      <c r="D56" s="155">
        <v>100</v>
      </c>
      <c r="E56" s="149">
        <v>120</v>
      </c>
    </row>
    <row r="57" spans="1:12" ht="15.75">
      <c r="A57" s="150" t="s">
        <v>260</v>
      </c>
      <c r="B57" s="27"/>
      <c r="C57" s="27"/>
      <c r="D57" s="156">
        <v>1300</v>
      </c>
      <c r="E57" s="151">
        <v>1540</v>
      </c>
    </row>
    <row r="58" spans="1:12" ht="15.75">
      <c r="A58" s="4"/>
      <c r="B58" s="4"/>
      <c r="C58" s="4"/>
      <c r="D58" s="30"/>
      <c r="E58" s="30"/>
    </row>
    <row r="59" spans="1:12" ht="15.75">
      <c r="A59" s="5" t="s">
        <v>261</v>
      </c>
      <c r="B59" s="4"/>
      <c r="C59" s="4"/>
      <c r="D59" s="143">
        <v>0</v>
      </c>
      <c r="E59" s="143">
        <v>0</v>
      </c>
    </row>
    <row r="60" spans="1:12" ht="15.75">
      <c r="A60" s="5" t="s">
        <v>262</v>
      </c>
      <c r="B60" s="4"/>
      <c r="C60" s="4"/>
      <c r="D60" s="144">
        <v>-2500</v>
      </c>
      <c r="E60" s="144">
        <v>-2600</v>
      </c>
    </row>
    <row r="61" spans="1:12" ht="15.75">
      <c r="A61" s="5" t="s">
        <v>263</v>
      </c>
      <c r="B61" s="4"/>
      <c r="C61" s="4"/>
      <c r="D61" s="144">
        <v>-1600</v>
      </c>
      <c r="E61" s="144">
        <v>-1700</v>
      </c>
    </row>
    <row r="62" spans="1:12" ht="15.75">
      <c r="A62" s="145" t="s">
        <v>264</v>
      </c>
      <c r="B62" s="27"/>
      <c r="C62" s="27"/>
      <c r="D62" s="152">
        <v>-4100</v>
      </c>
      <c r="E62" s="152">
        <v>-4300</v>
      </c>
    </row>
    <row r="63" spans="1:12" ht="15.75">
      <c r="A63" s="5"/>
      <c r="B63" s="4"/>
      <c r="C63" s="4"/>
      <c r="D63" s="143"/>
      <c r="E63" s="144"/>
    </row>
    <row r="64" spans="1:12" ht="15.75">
      <c r="A64" s="145" t="s">
        <v>265</v>
      </c>
      <c r="B64" s="27"/>
      <c r="C64" s="27"/>
      <c r="D64" s="146">
        <v>538</v>
      </c>
      <c r="E64" s="146">
        <v>105</v>
      </c>
    </row>
    <row r="65" spans="1:12" ht="15.75">
      <c r="A65" s="153"/>
      <c r="B65" s="4"/>
      <c r="C65" s="4"/>
      <c r="D65" s="140"/>
      <c r="E65" s="140"/>
    </row>
    <row r="66" spans="1:12" ht="15.75">
      <c r="A66" s="5" t="s">
        <v>266</v>
      </c>
      <c r="B66" s="4"/>
      <c r="C66" s="4"/>
      <c r="D66" s="143">
        <v>100</v>
      </c>
      <c r="E66" s="143">
        <v>638</v>
      </c>
    </row>
    <row r="67" spans="1:12" ht="15.75">
      <c r="A67" s="5" t="s">
        <v>267</v>
      </c>
      <c r="B67" s="4"/>
      <c r="C67" s="4"/>
      <c r="D67" s="143">
        <v>638</v>
      </c>
      <c r="E67" s="143">
        <v>743</v>
      </c>
    </row>
    <row r="68" spans="1:12" ht="15.75">
      <c r="A68" s="4"/>
      <c r="B68" s="4"/>
      <c r="C68" s="4"/>
      <c r="D68" s="4"/>
      <c r="E68" s="4"/>
    </row>
    <row r="69" spans="1:12" ht="15.75">
      <c r="A69" s="5" t="s">
        <v>268</v>
      </c>
      <c r="B69" s="5"/>
      <c r="C69" s="4"/>
      <c r="D69" s="4"/>
      <c r="E69" s="4"/>
    </row>
    <row r="70" spans="1:12" ht="15.75">
      <c r="A70" s="158" t="s">
        <v>269</v>
      </c>
      <c r="B70" s="159"/>
      <c r="C70" s="159"/>
      <c r="D70" s="159"/>
      <c r="E70" s="159"/>
    </row>
    <row r="72" spans="1:12">
      <c r="A72" s="1000" t="s">
        <v>270</v>
      </c>
      <c r="B72" s="964"/>
      <c r="C72" s="964"/>
      <c r="D72" s="964"/>
      <c r="E72" s="964"/>
      <c r="F72" s="964"/>
      <c r="G72" s="964"/>
      <c r="H72" s="964"/>
      <c r="I72" s="964"/>
      <c r="J72" s="964"/>
      <c r="K72" s="964"/>
      <c r="L72" s="965"/>
    </row>
    <row r="73" spans="1:12">
      <c r="A73" s="966"/>
      <c r="B73" s="967"/>
      <c r="C73" s="967"/>
      <c r="D73" s="967"/>
      <c r="E73" s="967"/>
      <c r="F73" s="967"/>
      <c r="G73" s="967"/>
      <c r="H73" s="967"/>
      <c r="I73" s="967"/>
      <c r="J73" s="967"/>
      <c r="K73" s="967"/>
      <c r="L73" s="968"/>
    </row>
    <row r="74" spans="1:12">
      <c r="A74" s="966"/>
      <c r="B74" s="967"/>
      <c r="C74" s="967"/>
      <c r="D74" s="967"/>
      <c r="E74" s="967"/>
      <c r="F74" s="967"/>
      <c r="G74" s="967"/>
      <c r="H74" s="967"/>
      <c r="I74" s="967"/>
      <c r="J74" s="967"/>
      <c r="K74" s="967"/>
      <c r="L74" s="968"/>
    </row>
    <row r="75" spans="1:12">
      <c r="A75" s="966"/>
      <c r="B75" s="967"/>
      <c r="C75" s="967"/>
      <c r="D75" s="967"/>
      <c r="E75" s="967"/>
      <c r="F75" s="967"/>
      <c r="G75" s="967"/>
      <c r="H75" s="967"/>
      <c r="I75" s="967"/>
      <c r="J75" s="967"/>
      <c r="K75" s="967"/>
      <c r="L75" s="968"/>
    </row>
    <row r="76" spans="1:12">
      <c r="A76" s="966"/>
      <c r="B76" s="967"/>
      <c r="C76" s="967"/>
      <c r="D76" s="967"/>
      <c r="E76" s="967"/>
      <c r="F76" s="967"/>
      <c r="G76" s="967"/>
      <c r="H76" s="967"/>
      <c r="I76" s="967"/>
      <c r="J76" s="967"/>
      <c r="K76" s="967"/>
      <c r="L76" s="968"/>
    </row>
    <row r="77" spans="1:12">
      <c r="A77" s="966"/>
      <c r="B77" s="967"/>
      <c r="C77" s="967"/>
      <c r="D77" s="967"/>
      <c r="E77" s="967"/>
      <c r="F77" s="967"/>
      <c r="G77" s="967"/>
      <c r="H77" s="967"/>
      <c r="I77" s="967"/>
      <c r="J77" s="967"/>
      <c r="K77" s="967"/>
      <c r="L77" s="968"/>
    </row>
    <row r="78" spans="1:12">
      <c r="A78" s="969"/>
      <c r="B78" s="970"/>
      <c r="C78" s="970"/>
      <c r="D78" s="970"/>
      <c r="E78" s="970"/>
      <c r="F78" s="970"/>
      <c r="G78" s="970"/>
      <c r="H78" s="970"/>
      <c r="I78" s="970"/>
      <c r="J78" s="970"/>
      <c r="K78" s="970"/>
      <c r="L78" s="971"/>
    </row>
    <row r="80" spans="1:12" s="2" customFormat="1">
      <c r="A80" s="164">
        <v>4</v>
      </c>
    </row>
    <row r="82" spans="1:12" ht="15.75">
      <c r="A82" s="113"/>
      <c r="B82" s="113" t="s">
        <v>271</v>
      </c>
      <c r="C82" s="113" t="s">
        <v>272</v>
      </c>
      <c r="D82" s="113" t="s">
        <v>273</v>
      </c>
      <c r="E82" s="160" t="s">
        <v>274</v>
      </c>
      <c r="F82" s="5"/>
      <c r="G82" s="5"/>
      <c r="H82" s="5"/>
      <c r="I82" s="5"/>
      <c r="J82" s="5"/>
      <c r="K82" s="5"/>
      <c r="L82" s="5"/>
    </row>
    <row r="83" spans="1:12" ht="15.75">
      <c r="A83" s="114" t="s">
        <v>275</v>
      </c>
      <c r="B83" s="116">
        <v>100000</v>
      </c>
      <c r="C83" s="115">
        <v>0.2</v>
      </c>
      <c r="D83" s="115">
        <v>0.02</v>
      </c>
      <c r="E83" s="114" t="s">
        <v>276</v>
      </c>
      <c r="F83" s="5"/>
      <c r="G83" s="5"/>
      <c r="H83" s="5"/>
      <c r="I83" s="5"/>
      <c r="J83" s="5"/>
      <c r="K83" s="5"/>
      <c r="L83" s="5"/>
    </row>
    <row r="84" spans="1:12" ht="15.75">
      <c r="A84" s="114" t="s">
        <v>277</v>
      </c>
      <c r="B84" s="116">
        <v>200000</v>
      </c>
      <c r="C84" s="115">
        <v>0.2</v>
      </c>
      <c r="D84" s="115">
        <v>0.02</v>
      </c>
      <c r="E84" s="114" t="s">
        <v>276</v>
      </c>
      <c r="F84" s="5"/>
      <c r="G84" s="5"/>
      <c r="H84" s="5"/>
      <c r="I84" s="5"/>
      <c r="J84" s="5"/>
      <c r="K84" s="5"/>
      <c r="L84" s="5"/>
    </row>
    <row r="86" spans="1:12">
      <c r="A86" s="1088" t="s">
        <v>278</v>
      </c>
      <c r="B86" s="964"/>
      <c r="C86" s="964"/>
      <c r="D86" s="964"/>
      <c r="E86" s="964"/>
      <c r="F86" s="964"/>
      <c r="G86" s="964"/>
      <c r="H86" s="964"/>
      <c r="I86" s="964"/>
      <c r="J86" s="964"/>
      <c r="K86" s="964"/>
      <c r="L86" s="965"/>
    </row>
    <row r="87" spans="1:12">
      <c r="A87" s="966"/>
      <c r="B87" s="967"/>
      <c r="C87" s="967"/>
      <c r="D87" s="967"/>
      <c r="E87" s="967"/>
      <c r="F87" s="967"/>
      <c r="G87" s="967"/>
      <c r="H87" s="967"/>
      <c r="I87" s="967"/>
      <c r="J87" s="967"/>
      <c r="K87" s="967"/>
      <c r="L87" s="968"/>
    </row>
    <row r="88" spans="1:12">
      <c r="A88" s="966"/>
      <c r="B88" s="967"/>
      <c r="C88" s="967"/>
      <c r="D88" s="967"/>
      <c r="E88" s="967"/>
      <c r="F88" s="967"/>
      <c r="G88" s="967"/>
      <c r="H88" s="967"/>
      <c r="I88" s="967"/>
      <c r="J88" s="967"/>
      <c r="K88" s="967"/>
      <c r="L88" s="968"/>
    </row>
    <row r="89" spans="1:12">
      <c r="A89" s="966"/>
      <c r="B89" s="967"/>
      <c r="C89" s="967"/>
      <c r="D89" s="967"/>
      <c r="E89" s="967"/>
      <c r="F89" s="967"/>
      <c r="G89" s="967"/>
      <c r="H89" s="967"/>
      <c r="I89" s="967"/>
      <c r="J89" s="967"/>
      <c r="K89" s="967"/>
      <c r="L89" s="968"/>
    </row>
    <row r="90" spans="1:12">
      <c r="A90" s="966"/>
      <c r="B90" s="967"/>
      <c r="C90" s="967"/>
      <c r="D90" s="967"/>
      <c r="E90" s="967"/>
      <c r="F90" s="967"/>
      <c r="G90" s="967"/>
      <c r="H90" s="967"/>
      <c r="I90" s="967"/>
      <c r="J90" s="967"/>
      <c r="K90" s="967"/>
      <c r="L90" s="968"/>
    </row>
    <row r="91" spans="1:12">
      <c r="A91" s="966"/>
      <c r="B91" s="967"/>
      <c r="C91" s="967"/>
      <c r="D91" s="967"/>
      <c r="E91" s="967"/>
      <c r="F91" s="967"/>
      <c r="G91" s="967"/>
      <c r="H91" s="967"/>
      <c r="I91" s="967"/>
      <c r="J91" s="967"/>
      <c r="K91" s="967"/>
      <c r="L91" s="968"/>
    </row>
    <row r="92" spans="1:12">
      <c r="A92" s="969"/>
      <c r="B92" s="970"/>
      <c r="C92" s="970"/>
      <c r="D92" s="970"/>
      <c r="E92" s="970"/>
      <c r="F92" s="970"/>
      <c r="G92" s="970"/>
      <c r="H92" s="970"/>
      <c r="I92" s="970"/>
      <c r="J92" s="970"/>
      <c r="K92" s="970"/>
      <c r="L92" s="971"/>
    </row>
    <row r="94" spans="1:12" s="2" customFormat="1">
      <c r="A94" s="164">
        <v>5</v>
      </c>
    </row>
    <row r="95" spans="1:12">
      <c r="A95">
        <v>5</v>
      </c>
    </row>
    <row r="96" spans="1:12" ht="15.75">
      <c r="A96" s="211" t="s">
        <v>286</v>
      </c>
      <c r="B96" s="211" t="s">
        <v>287</v>
      </c>
      <c r="C96" s="211"/>
      <c r="D96" s="238"/>
      <c r="E96" s="212"/>
      <c r="F96" s="212"/>
      <c r="G96" s="212"/>
      <c r="H96" s="212"/>
      <c r="I96" s="212"/>
      <c r="J96" s="212"/>
      <c r="K96" s="212"/>
      <c r="L96" s="212"/>
    </row>
    <row r="97" spans="1:12" ht="15.75">
      <c r="A97" s="212"/>
      <c r="B97" s="212" t="s">
        <v>288</v>
      </c>
      <c r="C97" s="212"/>
      <c r="D97" s="138">
        <v>100000</v>
      </c>
      <c r="E97" s="212"/>
      <c r="F97" s="212"/>
      <c r="G97" s="239" t="s">
        <v>289</v>
      </c>
      <c r="H97" s="138">
        <v>90000</v>
      </c>
      <c r="I97" s="212" t="s">
        <v>290</v>
      </c>
      <c r="J97" s="212"/>
      <c r="K97" s="212"/>
      <c r="L97" s="212"/>
    </row>
    <row r="98" spans="1:12" ht="15.75">
      <c r="A98" s="212"/>
      <c r="B98" s="212" t="s">
        <v>291</v>
      </c>
      <c r="C98" s="212"/>
      <c r="D98" s="223">
        <v>0.25</v>
      </c>
      <c r="E98" s="212"/>
      <c r="F98" s="212"/>
      <c r="G98" s="239" t="s">
        <v>292</v>
      </c>
      <c r="H98" s="138">
        <v>9000</v>
      </c>
      <c r="I98" s="212" t="s">
        <v>290</v>
      </c>
      <c r="J98" s="212"/>
      <c r="K98" s="212"/>
      <c r="L98" s="212"/>
    </row>
    <row r="99" spans="1:12" ht="15.75">
      <c r="A99" s="212"/>
      <c r="B99" s="212" t="s">
        <v>247</v>
      </c>
      <c r="C99" s="212"/>
      <c r="D99" s="223">
        <v>0.04</v>
      </c>
      <c r="E99" s="212"/>
      <c r="F99" s="212"/>
      <c r="G99" s="212" t="s">
        <v>293</v>
      </c>
      <c r="H99" s="237"/>
      <c r="I99" s="212"/>
      <c r="J99" s="212"/>
      <c r="K99" s="212"/>
      <c r="L99" s="212"/>
    </row>
    <row r="100" spans="1:12" ht="15.75">
      <c r="A100" s="212"/>
      <c r="B100" s="212" t="s">
        <v>294</v>
      </c>
      <c r="C100" s="212"/>
      <c r="D100" s="138">
        <v>5</v>
      </c>
      <c r="E100" s="212" t="s">
        <v>295</v>
      </c>
      <c r="F100" s="212"/>
      <c r="G100" s="212"/>
      <c r="H100" s="212"/>
      <c r="I100" s="212"/>
      <c r="J100" s="212"/>
      <c r="K100" s="212"/>
      <c r="L100" s="212"/>
    </row>
    <row r="101" spans="1:12" ht="15.75">
      <c r="A101" s="212"/>
      <c r="B101" s="212"/>
      <c r="C101" s="212"/>
      <c r="D101" s="212"/>
      <c r="E101" s="212"/>
      <c r="F101" s="212"/>
      <c r="G101" s="212"/>
      <c r="H101" s="212"/>
      <c r="I101" s="212"/>
      <c r="J101" s="212"/>
      <c r="K101" s="212"/>
      <c r="L101" s="212"/>
    </row>
    <row r="102" spans="1:12">
      <c r="A102" s="1126" t="s">
        <v>515</v>
      </c>
      <c r="B102" s="1002"/>
      <c r="C102" s="1002"/>
      <c r="D102" s="1002"/>
      <c r="E102" s="1002"/>
      <c r="F102" s="1002"/>
      <c r="G102" s="1002"/>
      <c r="H102" s="1002"/>
      <c r="I102" s="1002"/>
      <c r="J102" s="1002"/>
      <c r="K102" s="1002"/>
      <c r="L102" s="1003"/>
    </row>
    <row r="103" spans="1:12">
      <c r="A103" s="1004"/>
      <c r="B103" s="1005"/>
      <c r="C103" s="1005"/>
      <c r="D103" s="1005"/>
      <c r="E103" s="1005"/>
      <c r="F103" s="1005"/>
      <c r="G103" s="1005"/>
      <c r="H103" s="1005"/>
      <c r="I103" s="1005"/>
      <c r="J103" s="1005"/>
      <c r="K103" s="1005"/>
      <c r="L103" s="1006"/>
    </row>
    <row r="104" spans="1:12">
      <c r="A104" s="1004"/>
      <c r="B104" s="1005"/>
      <c r="C104" s="1005"/>
      <c r="D104" s="1005"/>
      <c r="E104" s="1005"/>
      <c r="F104" s="1005"/>
      <c r="G104" s="1005"/>
      <c r="H104" s="1005"/>
      <c r="I104" s="1005"/>
      <c r="J104" s="1005"/>
      <c r="K104" s="1005"/>
      <c r="L104" s="1006"/>
    </row>
    <row r="105" spans="1:12">
      <c r="A105" s="1007"/>
      <c r="B105" s="1008"/>
      <c r="C105" s="1008"/>
      <c r="D105" s="1008"/>
      <c r="E105" s="1008"/>
      <c r="F105" s="1008"/>
      <c r="G105" s="1008"/>
      <c r="H105" s="1008"/>
      <c r="I105" s="1008"/>
      <c r="J105" s="1008"/>
      <c r="K105" s="1008"/>
      <c r="L105" s="1009"/>
    </row>
    <row r="107" spans="1:12" s="2" customFormat="1">
      <c r="A107" s="164">
        <v>6</v>
      </c>
    </row>
    <row r="109" spans="1:12" ht="15.75">
      <c r="A109" s="275" t="s">
        <v>296</v>
      </c>
      <c r="B109" s="10"/>
      <c r="C109" s="10"/>
      <c r="D109" s="10"/>
      <c r="E109" s="10"/>
      <c r="F109" s="10"/>
      <c r="G109" s="10"/>
      <c r="H109" s="10"/>
      <c r="I109" s="10"/>
      <c r="J109" s="10"/>
      <c r="K109" s="10"/>
      <c r="L109" s="10"/>
    </row>
    <row r="110" spans="1:12">
      <c r="A110" s="9" t="s">
        <v>297</v>
      </c>
      <c r="B110" s="9"/>
      <c r="C110" s="9"/>
      <c r="D110" s="9"/>
      <c r="E110" s="9"/>
      <c r="F110" s="10"/>
      <c r="G110" s="10"/>
      <c r="H110" s="10"/>
      <c r="I110" s="10"/>
      <c r="J110" s="10"/>
      <c r="K110" s="10"/>
      <c r="L110" s="10"/>
    </row>
    <row r="111" spans="1:12">
      <c r="A111" s="9"/>
      <c r="B111" s="9"/>
      <c r="C111" s="9"/>
      <c r="D111" s="9"/>
      <c r="E111" s="9"/>
      <c r="F111" s="10"/>
      <c r="G111" s="10"/>
      <c r="H111" s="10"/>
      <c r="I111" s="10"/>
      <c r="J111" s="10"/>
      <c r="K111" s="10"/>
      <c r="L111" s="10"/>
    </row>
    <row r="112" spans="1:12" ht="15.75">
      <c r="A112" s="77" t="s">
        <v>298</v>
      </c>
      <c r="B112" s="9"/>
      <c r="C112" s="9"/>
      <c r="D112" s="77">
        <v>2021</v>
      </c>
      <c r="E112" s="77">
        <v>2022</v>
      </c>
      <c r="F112" s="10"/>
      <c r="G112" s="10"/>
      <c r="H112" s="10"/>
      <c r="I112" s="10"/>
      <c r="J112" s="10"/>
      <c r="K112" s="10"/>
      <c r="L112" s="10"/>
    </row>
    <row r="113" spans="1:12">
      <c r="A113" s="9" t="s">
        <v>92</v>
      </c>
      <c r="B113" s="9"/>
      <c r="C113" s="9"/>
      <c r="D113" s="276">
        <v>100</v>
      </c>
      <c r="E113" s="276">
        <v>150</v>
      </c>
      <c r="F113" s="10"/>
      <c r="G113" s="10"/>
      <c r="H113" s="10"/>
      <c r="I113" s="10"/>
      <c r="J113" s="10"/>
      <c r="K113" s="10"/>
      <c r="L113" s="10"/>
    </row>
    <row r="114" spans="1:12">
      <c r="A114" s="9" t="s">
        <v>251</v>
      </c>
      <c r="B114" s="9"/>
      <c r="C114" s="9"/>
      <c r="D114" s="9">
        <v>120</v>
      </c>
      <c r="E114" s="9">
        <v>140</v>
      </c>
      <c r="F114" s="10"/>
      <c r="G114" s="10"/>
      <c r="H114" s="10"/>
      <c r="I114" s="10"/>
      <c r="J114" s="10"/>
      <c r="K114" s="10"/>
      <c r="L114" s="10"/>
    </row>
    <row r="115" spans="1:12">
      <c r="A115" s="9" t="s">
        <v>252</v>
      </c>
      <c r="B115" s="9"/>
      <c r="C115" s="9"/>
      <c r="D115" s="9">
        <v>50</v>
      </c>
      <c r="E115" s="9">
        <v>70</v>
      </c>
      <c r="F115" s="10"/>
      <c r="G115" s="10"/>
      <c r="H115" s="10"/>
      <c r="I115" s="10"/>
      <c r="J115" s="10"/>
      <c r="K115" s="10"/>
      <c r="L115" s="10"/>
    </row>
    <row r="116" spans="1:12">
      <c r="A116" s="9" t="s">
        <v>253</v>
      </c>
      <c r="B116" s="9"/>
      <c r="C116" s="9"/>
      <c r="D116" s="9">
        <v>60</v>
      </c>
      <c r="E116" s="9">
        <v>80</v>
      </c>
      <c r="F116" s="10"/>
      <c r="G116" s="10"/>
      <c r="H116" s="10"/>
      <c r="I116" s="10"/>
      <c r="J116" s="10"/>
      <c r="K116" s="10"/>
      <c r="L116" s="10"/>
    </row>
    <row r="117" spans="1:12">
      <c r="A117" s="9" t="s">
        <v>254</v>
      </c>
      <c r="B117" s="9"/>
      <c r="C117" s="9"/>
      <c r="D117" s="9"/>
      <c r="E117" s="9"/>
      <c r="F117" s="10"/>
      <c r="G117" s="10"/>
      <c r="H117" s="10"/>
      <c r="I117" s="10"/>
      <c r="J117" s="10"/>
      <c r="K117" s="10"/>
      <c r="L117" s="10"/>
    </row>
    <row r="118" spans="1:12">
      <c r="A118" s="9" t="s">
        <v>255</v>
      </c>
      <c r="B118" s="9"/>
      <c r="C118" s="9"/>
      <c r="D118" s="9">
        <v>90</v>
      </c>
      <c r="E118" s="9">
        <v>100</v>
      </c>
      <c r="F118" s="10"/>
      <c r="G118" s="10"/>
      <c r="H118" s="10"/>
      <c r="I118" s="10"/>
      <c r="J118" s="10"/>
      <c r="K118" s="10"/>
      <c r="L118" s="10"/>
    </row>
    <row r="119" spans="1:12" ht="15.75">
      <c r="A119" s="277" t="s">
        <v>299</v>
      </c>
      <c r="B119" s="277"/>
      <c r="C119" s="277"/>
      <c r="D119" s="278">
        <v>420</v>
      </c>
      <c r="E119" s="278">
        <v>540</v>
      </c>
      <c r="F119" s="10"/>
      <c r="G119" s="10"/>
      <c r="H119" s="10"/>
      <c r="I119" s="10"/>
      <c r="J119" s="10"/>
      <c r="K119" s="10"/>
      <c r="L119" s="10"/>
    </row>
    <row r="120" spans="1:12">
      <c r="A120" s="9"/>
      <c r="B120" s="9"/>
      <c r="C120" s="9"/>
      <c r="D120" s="9"/>
      <c r="E120" s="9"/>
      <c r="F120" s="10"/>
      <c r="G120" s="10"/>
      <c r="H120" s="10"/>
      <c r="I120" s="10"/>
      <c r="J120" s="10"/>
      <c r="K120" s="10"/>
      <c r="L120" s="10"/>
    </row>
    <row r="121" spans="1:12" ht="15.75">
      <c r="A121" s="9" t="s">
        <v>257</v>
      </c>
      <c r="B121" s="9"/>
      <c r="C121" s="9"/>
      <c r="D121" s="279">
        <v>-1000</v>
      </c>
      <c r="E121" s="279">
        <v>-1000</v>
      </c>
      <c r="F121" s="10"/>
      <c r="G121" s="10"/>
      <c r="H121" s="10"/>
      <c r="I121" s="10"/>
      <c r="J121" s="10"/>
      <c r="K121" s="10"/>
      <c r="L121" s="10"/>
    </row>
    <row r="122" spans="1:12" ht="15.75">
      <c r="A122" s="9" t="s">
        <v>258</v>
      </c>
      <c r="B122" s="9"/>
      <c r="C122" s="9"/>
      <c r="D122" s="280">
        <v>-300</v>
      </c>
      <c r="E122" s="280">
        <v>-400</v>
      </c>
      <c r="F122" s="10"/>
      <c r="G122" s="10"/>
      <c r="H122" s="10"/>
      <c r="I122" s="10"/>
      <c r="J122" s="10"/>
      <c r="K122" s="10"/>
      <c r="L122" s="10"/>
    </row>
    <row r="123" spans="1:12">
      <c r="A123" s="9" t="s">
        <v>259</v>
      </c>
      <c r="B123" s="9"/>
      <c r="C123" s="9"/>
      <c r="D123" s="9">
        <v>0</v>
      </c>
      <c r="E123" s="9">
        <v>0</v>
      </c>
      <c r="F123" s="10"/>
      <c r="G123" s="10"/>
      <c r="H123" s="10"/>
      <c r="I123" s="10"/>
      <c r="J123" s="10"/>
      <c r="K123" s="10"/>
      <c r="L123" s="10"/>
    </row>
    <row r="124" spans="1:12" ht="15.75">
      <c r="A124" s="277" t="s">
        <v>300</v>
      </c>
      <c r="B124" s="277"/>
      <c r="C124" s="277"/>
      <c r="D124" s="281">
        <v>-1300</v>
      </c>
      <c r="E124" s="281">
        <v>-1400</v>
      </c>
      <c r="F124" s="10"/>
      <c r="G124" s="10"/>
      <c r="H124" s="10"/>
      <c r="I124" s="10"/>
      <c r="J124" s="10"/>
      <c r="K124" s="10"/>
      <c r="L124" s="10"/>
    </row>
    <row r="125" spans="1:12">
      <c r="A125" s="9"/>
      <c r="B125" s="9"/>
      <c r="C125" s="9"/>
      <c r="D125" s="9"/>
      <c r="E125" s="9"/>
      <c r="F125" s="10"/>
      <c r="G125" s="10"/>
      <c r="H125" s="10"/>
      <c r="I125" s="10"/>
      <c r="J125" s="10"/>
      <c r="K125" s="10"/>
      <c r="L125" s="10"/>
    </row>
    <row r="126" spans="1:12">
      <c r="A126" s="9" t="s">
        <v>261</v>
      </c>
      <c r="B126" s="9"/>
      <c r="C126" s="9"/>
      <c r="D126" s="9">
        <v>1000</v>
      </c>
      <c r="E126" s="9">
        <v>880</v>
      </c>
      <c r="F126" s="10"/>
      <c r="G126" s="10"/>
      <c r="H126" s="10"/>
      <c r="I126" s="10"/>
      <c r="J126" s="10"/>
      <c r="K126" s="10"/>
      <c r="L126" s="10"/>
    </row>
    <row r="127" spans="1:12">
      <c r="A127" s="9" t="s">
        <v>262</v>
      </c>
      <c r="B127" s="9"/>
      <c r="C127" s="9"/>
      <c r="D127" s="276">
        <v>0</v>
      </c>
      <c r="E127" s="276">
        <v>0</v>
      </c>
      <c r="F127" s="10"/>
      <c r="G127" s="10"/>
      <c r="H127" s="10"/>
      <c r="I127" s="10"/>
      <c r="J127" s="10"/>
      <c r="K127" s="10"/>
      <c r="L127" s="10"/>
    </row>
    <row r="128" spans="1:12">
      <c r="A128" s="9" t="s">
        <v>263</v>
      </c>
      <c r="B128" s="9"/>
      <c r="C128" s="9"/>
      <c r="D128" s="276">
        <v>0</v>
      </c>
      <c r="E128" s="276">
        <v>0</v>
      </c>
      <c r="F128" s="10"/>
      <c r="G128" s="10"/>
      <c r="H128" s="10"/>
      <c r="I128" s="10"/>
      <c r="J128" s="10"/>
      <c r="K128" s="10"/>
      <c r="L128" s="10"/>
    </row>
    <row r="129" spans="1:12" ht="15.75">
      <c r="A129" s="277" t="s">
        <v>301</v>
      </c>
      <c r="B129" s="277"/>
      <c r="C129" s="277"/>
      <c r="D129" s="278">
        <v>1000</v>
      </c>
      <c r="E129" s="278">
        <v>880</v>
      </c>
      <c r="F129" s="10"/>
      <c r="G129" s="10"/>
      <c r="H129" s="10"/>
      <c r="I129" s="10"/>
      <c r="J129" s="10"/>
      <c r="K129" s="10"/>
      <c r="L129" s="10"/>
    </row>
    <row r="130" spans="1:12">
      <c r="A130" s="9"/>
      <c r="B130" s="9"/>
      <c r="C130" s="9"/>
      <c r="D130" s="9"/>
      <c r="E130" s="9"/>
      <c r="F130" s="10"/>
      <c r="G130" s="10"/>
      <c r="H130" s="10"/>
      <c r="I130" s="10"/>
      <c r="J130" s="10"/>
      <c r="K130" s="10"/>
      <c r="L130" s="10"/>
    </row>
    <row r="131" spans="1:12">
      <c r="A131" s="9" t="s">
        <v>265</v>
      </c>
      <c r="B131" s="9"/>
      <c r="C131" s="9"/>
      <c r="D131" s="276">
        <v>120</v>
      </c>
      <c r="E131" s="276">
        <v>20</v>
      </c>
      <c r="F131" s="10"/>
      <c r="G131" s="10"/>
      <c r="H131" s="10"/>
      <c r="I131" s="10"/>
      <c r="J131" s="10"/>
      <c r="K131" s="10"/>
      <c r="L131" s="10"/>
    </row>
    <row r="132" spans="1:12" ht="15.75">
      <c r="A132" s="4" t="s">
        <v>266</v>
      </c>
      <c r="B132" s="4"/>
      <c r="C132" s="4"/>
      <c r="D132" s="4">
        <v>100</v>
      </c>
      <c r="E132" s="30">
        <v>220</v>
      </c>
      <c r="F132" s="212"/>
      <c r="G132" s="212"/>
      <c r="H132" s="212"/>
      <c r="I132" s="212"/>
      <c r="J132" s="212"/>
      <c r="K132" s="212"/>
      <c r="L132" s="212"/>
    </row>
    <row r="133" spans="1:12" ht="15.75">
      <c r="A133" s="282" t="s">
        <v>267</v>
      </c>
      <c r="B133" s="282"/>
      <c r="C133" s="282"/>
      <c r="D133" s="230">
        <v>220</v>
      </c>
      <c r="E133" s="230">
        <v>240</v>
      </c>
      <c r="F133" s="212"/>
      <c r="G133" s="212"/>
      <c r="H133" s="212"/>
      <c r="I133" s="212"/>
      <c r="J133" s="212"/>
      <c r="K133" s="212"/>
      <c r="L133" s="212"/>
    </row>
    <row r="134" spans="1:12" ht="15.75">
      <c r="A134" s="212"/>
      <c r="B134" s="212"/>
      <c r="C134" s="212"/>
      <c r="D134" s="138"/>
      <c r="E134" s="138"/>
      <c r="F134" s="212"/>
      <c r="G134" s="212"/>
      <c r="H134" s="212"/>
      <c r="I134" s="212"/>
      <c r="J134" s="212"/>
      <c r="K134" s="212"/>
      <c r="L134" s="212"/>
    </row>
    <row r="135" spans="1:12" ht="15.75">
      <c r="A135" s="283" t="s">
        <v>302</v>
      </c>
      <c r="B135" s="264"/>
      <c r="C135" s="264"/>
      <c r="D135" s="264"/>
      <c r="E135" s="264"/>
      <c r="F135" s="264"/>
      <c r="G135" s="264"/>
      <c r="H135" s="264"/>
      <c r="I135" s="264"/>
      <c r="J135" s="264"/>
      <c r="K135" s="264"/>
      <c r="L135" s="265"/>
    </row>
    <row r="136" spans="1:12">
      <c r="A136" s="1123" t="s">
        <v>303</v>
      </c>
      <c r="B136" s="1124"/>
      <c r="C136" s="1124"/>
      <c r="D136" s="1124"/>
      <c r="E136" s="1124"/>
      <c r="F136" s="1124"/>
      <c r="G136" s="1124"/>
      <c r="H136" s="1124"/>
      <c r="I136" s="1124"/>
      <c r="J136" s="1124"/>
      <c r="K136" s="1124"/>
      <c r="L136" s="1125"/>
    </row>
    <row r="138" spans="1:12" s="2" customFormat="1">
      <c r="A138" s="164">
        <v>7</v>
      </c>
    </row>
    <row r="140" spans="1:12" ht="15.75">
      <c r="A140" s="319" t="s">
        <v>344</v>
      </c>
      <c r="B140" s="320">
        <v>2021</v>
      </c>
      <c r="C140" s="320">
        <v>2022</v>
      </c>
      <c r="D140" s="165"/>
      <c r="E140" s="165"/>
      <c r="F140" s="165"/>
      <c r="G140" s="165"/>
      <c r="H140" s="165"/>
      <c r="I140" s="165"/>
      <c r="J140" s="165"/>
      <c r="K140" s="165"/>
    </row>
    <row r="141" spans="1:12">
      <c r="A141" s="320" t="s">
        <v>345</v>
      </c>
      <c r="B141" s="321">
        <v>750000</v>
      </c>
      <c r="C141" s="321">
        <v>640000</v>
      </c>
      <c r="D141" s="165"/>
      <c r="E141" s="165"/>
      <c r="F141" s="165"/>
      <c r="G141" s="165"/>
      <c r="H141" s="165"/>
      <c r="I141" s="165"/>
      <c r="J141" s="165"/>
      <c r="K141" s="165"/>
    </row>
    <row r="142" spans="1:12">
      <c r="A142" s="320" t="s">
        <v>346</v>
      </c>
      <c r="B142" s="321">
        <v>500000</v>
      </c>
      <c r="C142" s="321">
        <v>650000</v>
      </c>
      <c r="D142" s="165"/>
      <c r="E142" s="165"/>
      <c r="F142" s="165"/>
      <c r="G142" s="165"/>
      <c r="H142" s="165"/>
      <c r="I142" s="165"/>
      <c r="J142" s="165"/>
      <c r="K142" s="165"/>
    </row>
    <row r="143" spans="1:12">
      <c r="A143" s="320" t="s">
        <v>347</v>
      </c>
      <c r="B143" s="321">
        <v>-1168000</v>
      </c>
      <c r="C143" s="321">
        <v>-1103000</v>
      </c>
      <c r="D143" s="165"/>
      <c r="E143" s="165"/>
      <c r="F143" s="165"/>
      <c r="G143" s="165"/>
      <c r="H143" s="165"/>
      <c r="I143" s="165"/>
      <c r="J143" s="165"/>
      <c r="K143" s="165"/>
    </row>
    <row r="144" spans="1:12">
      <c r="A144" s="320" t="s">
        <v>348</v>
      </c>
      <c r="B144" s="322">
        <f>SUM(B141:B143)</f>
        <v>82000</v>
      </c>
      <c r="C144" s="322">
        <f>SUM(C141:C143)</f>
        <v>187000</v>
      </c>
      <c r="D144" s="165"/>
      <c r="E144" s="165"/>
      <c r="F144" s="165"/>
      <c r="G144" s="165"/>
      <c r="H144" s="165"/>
      <c r="I144" s="165"/>
      <c r="J144" s="165"/>
      <c r="K144" s="165"/>
    </row>
    <row r="145" spans="1:11" ht="15.75">
      <c r="A145" s="1031" t="s">
        <v>350</v>
      </c>
      <c r="B145" s="1032"/>
      <c r="C145" s="1032"/>
      <c r="D145" s="1032"/>
      <c r="E145" s="1032"/>
      <c r="F145" s="1032"/>
      <c r="G145" s="1032"/>
      <c r="H145" s="1032"/>
      <c r="I145" s="1032"/>
      <c r="J145" s="1032"/>
      <c r="K145" s="1032"/>
    </row>
    <row r="146" spans="1:11">
      <c r="A146" s="990" t="s">
        <v>349</v>
      </c>
      <c r="B146" s="981"/>
      <c r="C146" s="981"/>
      <c r="D146" s="981"/>
      <c r="E146" s="981"/>
      <c r="F146" s="981"/>
      <c r="G146" s="981"/>
      <c r="H146" s="981"/>
      <c r="I146" s="981"/>
      <c r="J146" s="981"/>
      <c r="K146" s="991"/>
    </row>
    <row r="147" spans="1:11">
      <c r="A147" s="983"/>
      <c r="B147" s="984"/>
      <c r="C147" s="984"/>
      <c r="D147" s="984"/>
      <c r="E147" s="984"/>
      <c r="F147" s="984"/>
      <c r="G147" s="984"/>
      <c r="H147" s="984"/>
      <c r="I147" s="984"/>
      <c r="J147" s="984"/>
      <c r="K147" s="985"/>
    </row>
    <row r="149" spans="1:11" s="2" customFormat="1">
      <c r="A149" s="164">
        <v>8</v>
      </c>
    </row>
    <row r="151" spans="1:11" ht="15.75">
      <c r="A151" s="1118" t="s">
        <v>560</v>
      </c>
      <c r="B151" s="1119"/>
    </row>
    <row r="152" spans="1:11" ht="15.75">
      <c r="A152" s="448"/>
      <c r="B152" s="448"/>
    </row>
    <row r="153" spans="1:11" ht="15.75">
      <c r="A153" s="448"/>
      <c r="B153" s="448"/>
    </row>
    <row r="154" spans="1:11" ht="15.75">
      <c r="A154" s="448"/>
      <c r="B154" s="448"/>
    </row>
    <row r="155" spans="1:11" ht="15.75">
      <c r="A155" s="448"/>
      <c r="B155" s="448"/>
    </row>
    <row r="156" spans="1:11" ht="15.75">
      <c r="A156" s="448"/>
      <c r="B156" s="448"/>
    </row>
    <row r="157" spans="1:11" ht="15.75">
      <c r="A157" s="448"/>
      <c r="B157" s="448"/>
    </row>
    <row r="158" spans="1:11" ht="15.75">
      <c r="A158" s="448"/>
      <c r="B158" s="448"/>
    </row>
    <row r="159" spans="1:11" ht="15.75">
      <c r="A159" s="448"/>
      <c r="B159" s="448"/>
    </row>
    <row r="160" spans="1:11" ht="15.75">
      <c r="A160" s="448"/>
      <c r="B160" s="448"/>
    </row>
    <row r="161" spans="1:2" ht="15.75">
      <c r="A161" s="448"/>
      <c r="B161" s="448"/>
    </row>
    <row r="162" spans="1:2" ht="15.75">
      <c r="A162" s="448"/>
      <c r="B162" s="448"/>
    </row>
    <row r="163" spans="1:2" ht="15.75">
      <c r="A163" s="448"/>
      <c r="B163" s="448"/>
    </row>
    <row r="164" spans="1:2" ht="15.75">
      <c r="A164" s="448"/>
      <c r="B164" s="448"/>
    </row>
    <row r="165" spans="1:2" ht="15.75">
      <c r="A165" s="448"/>
      <c r="B165" s="448"/>
    </row>
    <row r="166" spans="1:2" ht="15.75">
      <c r="A166" s="448"/>
      <c r="B166" s="448"/>
    </row>
    <row r="167" spans="1:2" ht="15.75">
      <c r="A167" s="448"/>
      <c r="B167" s="448"/>
    </row>
    <row r="168" spans="1:2" ht="15.75">
      <c r="A168" s="448"/>
      <c r="B168" s="448"/>
    </row>
    <row r="169" spans="1:2" ht="15.75">
      <c r="A169" s="448"/>
      <c r="B169" s="448"/>
    </row>
    <row r="170" spans="1:2" ht="15.75">
      <c r="A170" s="448"/>
      <c r="B170" s="448"/>
    </row>
    <row r="171" spans="1:2" ht="15.75">
      <c r="A171" s="448"/>
      <c r="B171" s="448"/>
    </row>
    <row r="172" spans="1:2" ht="15.75">
      <c r="A172" s="448"/>
      <c r="B172" s="448"/>
    </row>
    <row r="173" spans="1:2" ht="15.75">
      <c r="A173" s="448"/>
      <c r="B173" s="448"/>
    </row>
    <row r="174" spans="1:2" ht="15.75">
      <c r="A174" s="448"/>
      <c r="B174" s="448"/>
    </row>
    <row r="175" spans="1:2" ht="15.75">
      <c r="A175" s="448"/>
      <c r="B175" s="448"/>
    </row>
    <row r="176" spans="1:2" ht="15.75">
      <c r="A176" s="448"/>
      <c r="B176" s="448"/>
    </row>
    <row r="177" spans="1:11" ht="15.75">
      <c r="A177" s="448"/>
      <c r="B177" s="448"/>
    </row>
    <row r="178" spans="1:11" ht="15.75">
      <c r="A178" s="448"/>
      <c r="B178" s="448"/>
    </row>
    <row r="179" spans="1:11" ht="15.75">
      <c r="A179" s="448"/>
      <c r="B179" s="448"/>
    </row>
    <row r="180" spans="1:11" ht="15.75">
      <c r="A180" s="448"/>
      <c r="B180" s="448"/>
    </row>
    <row r="181" spans="1:11" ht="15.75">
      <c r="A181" s="448"/>
      <c r="B181" s="448"/>
    </row>
    <row r="182" spans="1:11" ht="15.75">
      <c r="A182" s="448"/>
      <c r="B182" s="448"/>
    </row>
    <row r="183" spans="1:11" ht="15.75">
      <c r="A183" s="448"/>
      <c r="B183" s="448"/>
    </row>
    <row r="184" spans="1:11" ht="15.75">
      <c r="A184" s="448"/>
      <c r="B184" s="448"/>
    </row>
    <row r="185" spans="1:11" ht="15.75">
      <c r="A185" s="1031" t="s">
        <v>562</v>
      </c>
      <c r="B185" s="1032"/>
      <c r="C185" s="1032"/>
      <c r="D185" s="1032"/>
      <c r="E185" s="1032"/>
      <c r="F185" s="1032"/>
      <c r="G185" s="1032"/>
      <c r="H185" s="1032"/>
      <c r="I185" s="1032"/>
      <c r="J185" s="1032"/>
      <c r="K185" s="1052"/>
    </row>
    <row r="186" spans="1:11" ht="15.75">
      <c r="A186" s="972" t="s">
        <v>561</v>
      </c>
      <c r="B186" s="973"/>
      <c r="C186" s="973"/>
      <c r="D186" s="973"/>
      <c r="E186" s="973"/>
      <c r="F186" s="973"/>
      <c r="G186" s="973"/>
      <c r="H186" s="973"/>
      <c r="I186" s="973"/>
      <c r="J186" s="973"/>
      <c r="K186" s="1039"/>
    </row>
    <row r="187" spans="1:11" ht="15.75">
      <c r="A187" s="1056" t="s">
        <v>563</v>
      </c>
      <c r="B187" s="1056"/>
      <c r="C187" s="1056"/>
      <c r="D187" s="1056"/>
      <c r="E187" s="1056"/>
      <c r="F187" s="1056"/>
      <c r="G187" s="1056"/>
      <c r="H187" s="1056"/>
      <c r="I187" s="1056"/>
      <c r="J187" s="1056"/>
      <c r="K187" s="1056"/>
    </row>
    <row r="188" spans="1:11" ht="15.75">
      <c r="A188" s="1040" t="s">
        <v>564</v>
      </c>
      <c r="B188" s="1041"/>
      <c r="C188" s="1041"/>
      <c r="D188" s="1041"/>
      <c r="E188" s="1041"/>
      <c r="F188" s="1041"/>
      <c r="G188" s="1041"/>
      <c r="H188" s="1041"/>
      <c r="I188" s="1041"/>
      <c r="J188" s="1041"/>
      <c r="K188" s="1120"/>
    </row>
    <row r="190" spans="1:11" s="2" customFormat="1">
      <c r="A190" s="164">
        <v>9</v>
      </c>
    </row>
    <row r="192" spans="1:11" ht="21">
      <c r="A192" s="976" t="s">
        <v>410</v>
      </c>
      <c r="B192" s="977"/>
      <c r="C192" s="977"/>
      <c r="D192" s="977"/>
      <c r="E192" s="977"/>
      <c r="F192" s="977"/>
      <c r="G192" s="977"/>
      <c r="H192" s="977"/>
      <c r="I192" s="977"/>
      <c r="J192" s="977"/>
      <c r="K192" s="1042"/>
    </row>
    <row r="193" spans="1:11" ht="21">
      <c r="A193" s="1112"/>
      <c r="B193" s="1113"/>
      <c r="C193" s="1113"/>
      <c r="D193" s="1113"/>
      <c r="E193" s="1113"/>
      <c r="F193" s="1113"/>
      <c r="G193" s="1113"/>
      <c r="H193" s="1113"/>
      <c r="I193" s="1113"/>
      <c r="J193" s="1113"/>
      <c r="K193" s="1113"/>
    </row>
    <row r="194" spans="1:11" ht="21">
      <c r="A194" s="533" t="s">
        <v>616</v>
      </c>
      <c r="B194" s="533"/>
      <c r="C194" s="533"/>
      <c r="D194" s="533"/>
      <c r="E194" s="533"/>
      <c r="F194" s="533"/>
      <c r="G194" s="534"/>
      <c r="H194" s="534"/>
      <c r="I194" s="534"/>
      <c r="J194" s="534"/>
      <c r="K194" s="534"/>
    </row>
    <row r="195" spans="1:11" ht="21">
      <c r="A195" s="535" t="s">
        <v>617</v>
      </c>
      <c r="B195" s="536">
        <v>2021</v>
      </c>
      <c r="C195" s="536">
        <v>2022</v>
      </c>
      <c r="D195" s="535"/>
      <c r="E195" s="536"/>
      <c r="F195" s="536"/>
      <c r="G195" s="537"/>
      <c r="H195" s="537"/>
      <c r="I195" s="537"/>
      <c r="J195" s="537"/>
      <c r="K195" s="537"/>
    </row>
    <row r="196" spans="1:11" ht="31.5">
      <c r="A196" s="538" t="s">
        <v>618</v>
      </c>
      <c r="B196" s="539">
        <v>3198</v>
      </c>
      <c r="C196" s="539">
        <v>3200</v>
      </c>
      <c r="D196" s="539"/>
      <c r="E196" s="539"/>
      <c r="F196" s="539"/>
      <c r="G196" s="537"/>
      <c r="H196" s="537"/>
      <c r="I196" s="537"/>
      <c r="J196" s="537"/>
      <c r="K196" s="537"/>
    </row>
    <row r="197" spans="1:11" ht="21">
      <c r="A197" s="535" t="s">
        <v>251</v>
      </c>
      <c r="B197" s="535">
        <v>485</v>
      </c>
      <c r="C197" s="535">
        <v>485</v>
      </c>
      <c r="D197" s="535"/>
      <c r="E197" s="535"/>
      <c r="F197" s="535"/>
      <c r="G197" s="537"/>
      <c r="H197" s="537"/>
      <c r="I197" s="537"/>
      <c r="J197" s="537"/>
      <c r="K197" s="537"/>
    </row>
    <row r="198" spans="1:11" ht="21">
      <c r="A198" s="535" t="s">
        <v>619</v>
      </c>
      <c r="B198" s="540">
        <v>-19</v>
      </c>
      <c r="C198" s="540">
        <v>-30</v>
      </c>
      <c r="D198" s="535"/>
      <c r="E198" s="540"/>
      <c r="F198" s="540"/>
      <c r="G198" s="537"/>
      <c r="H198" s="537"/>
      <c r="I198" s="537"/>
      <c r="J198" s="537"/>
      <c r="K198" s="537"/>
    </row>
    <row r="199" spans="1:11" ht="21">
      <c r="A199" s="535" t="s">
        <v>620</v>
      </c>
      <c r="B199" s="540">
        <v>-34</v>
      </c>
      <c r="C199" s="540">
        <v>-10</v>
      </c>
      <c r="D199" s="535"/>
      <c r="E199" s="540"/>
      <c r="F199" s="540"/>
      <c r="G199" s="537"/>
      <c r="H199" s="537"/>
      <c r="I199" s="537"/>
      <c r="J199" s="537"/>
      <c r="K199" s="537"/>
    </row>
    <row r="200" spans="1:11" ht="21">
      <c r="A200" s="535" t="s">
        <v>621</v>
      </c>
      <c r="B200" s="535">
        <v>0</v>
      </c>
      <c r="C200" s="535">
        <v>0</v>
      </c>
      <c r="D200" s="535"/>
      <c r="E200" s="535"/>
      <c r="F200" s="535"/>
      <c r="G200" s="537"/>
      <c r="H200" s="537"/>
      <c r="I200" s="537"/>
      <c r="J200" s="537"/>
      <c r="K200" s="537"/>
    </row>
    <row r="201" spans="1:11" ht="21">
      <c r="A201" s="535" t="s">
        <v>255</v>
      </c>
      <c r="B201" s="535">
        <v>0</v>
      </c>
      <c r="C201" s="541">
        <v>0</v>
      </c>
      <c r="D201" s="535"/>
      <c r="E201" s="535"/>
      <c r="F201" s="540"/>
      <c r="G201" s="537"/>
      <c r="H201" s="537"/>
      <c r="I201" s="537"/>
      <c r="J201" s="537"/>
      <c r="K201" s="537"/>
    </row>
    <row r="202" spans="1:11" ht="21">
      <c r="A202" s="542" t="s">
        <v>299</v>
      </c>
      <c r="B202" s="543">
        <v>3630</v>
      </c>
      <c r="C202" s="543">
        <v>3645</v>
      </c>
      <c r="D202" s="539"/>
      <c r="E202" s="543"/>
      <c r="F202" s="543"/>
      <c r="G202" s="537"/>
      <c r="H202" s="537"/>
      <c r="I202" s="537"/>
      <c r="J202" s="537"/>
      <c r="K202" s="537"/>
    </row>
    <row r="203" spans="1:11" ht="21">
      <c r="A203" s="535"/>
      <c r="B203" s="535"/>
      <c r="C203" s="535"/>
      <c r="D203" s="535"/>
      <c r="E203" s="535"/>
      <c r="F203" s="535"/>
      <c r="G203" s="537"/>
      <c r="H203" s="537"/>
      <c r="I203" s="537"/>
      <c r="J203" s="537"/>
      <c r="K203" s="537"/>
    </row>
    <row r="204" spans="1:11" ht="21">
      <c r="A204" s="535" t="s">
        <v>257</v>
      </c>
      <c r="B204" s="535">
        <v>0</v>
      </c>
      <c r="C204" s="535">
        <v>0</v>
      </c>
      <c r="D204" s="535"/>
      <c r="E204" s="535"/>
      <c r="F204" s="535"/>
      <c r="G204" s="537"/>
      <c r="H204" s="537"/>
      <c r="I204" s="537"/>
      <c r="J204" s="537"/>
      <c r="K204" s="537"/>
    </row>
    <row r="205" spans="1:11" ht="21">
      <c r="A205" s="535" t="s">
        <v>258</v>
      </c>
      <c r="B205" s="535">
        <v>20</v>
      </c>
      <c r="C205" s="535">
        <v>5</v>
      </c>
      <c r="D205" s="535"/>
      <c r="E205" s="535"/>
      <c r="F205" s="535"/>
      <c r="G205" s="537"/>
      <c r="H205" s="537"/>
      <c r="I205" s="537"/>
      <c r="J205" s="537"/>
      <c r="K205" s="537"/>
    </row>
    <row r="206" spans="1:11" ht="21">
      <c r="A206" s="535" t="s">
        <v>259</v>
      </c>
      <c r="B206" s="544">
        <v>-1320</v>
      </c>
      <c r="C206" s="544">
        <v>-1905</v>
      </c>
      <c r="D206" s="535"/>
      <c r="E206" s="544"/>
      <c r="F206" s="544"/>
      <c r="G206" s="537"/>
      <c r="H206" s="537"/>
      <c r="I206" s="537"/>
      <c r="J206" s="537"/>
      <c r="K206" s="537"/>
    </row>
    <row r="207" spans="1:11" ht="21">
      <c r="A207" s="542" t="s">
        <v>300</v>
      </c>
      <c r="B207" s="542">
        <v>-1300</v>
      </c>
      <c r="C207" s="542">
        <v>-1900</v>
      </c>
      <c r="D207" s="539"/>
      <c r="E207" s="542"/>
      <c r="F207" s="542"/>
      <c r="G207" s="537"/>
      <c r="H207" s="537"/>
      <c r="I207" s="537"/>
      <c r="J207" s="537"/>
      <c r="K207" s="537"/>
    </row>
    <row r="208" spans="1:11" ht="21">
      <c r="A208" s="535" t="s">
        <v>261</v>
      </c>
      <c r="B208" s="535">
        <v>0</v>
      </c>
      <c r="C208" s="535">
        <v>0</v>
      </c>
      <c r="D208" s="535"/>
      <c r="E208" s="535"/>
      <c r="F208" s="535"/>
      <c r="G208" s="537"/>
      <c r="H208" s="537"/>
      <c r="I208" s="537"/>
      <c r="J208" s="537"/>
      <c r="K208" s="537"/>
    </row>
    <row r="209" spans="1:11" ht="21">
      <c r="A209" s="535" t="s">
        <v>262</v>
      </c>
      <c r="B209" s="540">
        <v>-1000</v>
      </c>
      <c r="C209" s="540">
        <v>-1000</v>
      </c>
      <c r="D209" s="535"/>
      <c r="E209" s="540"/>
      <c r="F209" s="540"/>
      <c r="G209" s="537"/>
      <c r="H209" s="537"/>
      <c r="I209" s="537"/>
      <c r="J209" s="537"/>
      <c r="K209" s="537"/>
    </row>
    <row r="210" spans="1:11" ht="21">
      <c r="A210" s="535" t="s">
        <v>263</v>
      </c>
      <c r="B210" s="540">
        <v>-500</v>
      </c>
      <c r="C210" s="540">
        <v>-500</v>
      </c>
      <c r="D210" s="535"/>
      <c r="E210" s="540"/>
      <c r="F210" s="540"/>
      <c r="G210" s="537"/>
      <c r="H210" s="537"/>
      <c r="I210" s="537"/>
      <c r="J210" s="537"/>
      <c r="K210" s="537"/>
    </row>
    <row r="211" spans="1:11" ht="21">
      <c r="A211" s="542" t="s">
        <v>301</v>
      </c>
      <c r="B211" s="542">
        <v>-1500</v>
      </c>
      <c r="C211" s="542">
        <v>-1500</v>
      </c>
      <c r="D211" s="539"/>
      <c r="E211" s="542"/>
      <c r="F211" s="542"/>
      <c r="G211" s="537"/>
      <c r="H211" s="537"/>
      <c r="I211" s="537"/>
      <c r="J211" s="537"/>
      <c r="K211" s="537"/>
    </row>
    <row r="212" spans="1:11" ht="21">
      <c r="A212" s="535"/>
      <c r="B212" s="535"/>
      <c r="C212" s="535"/>
      <c r="D212" s="535"/>
      <c r="E212" s="535"/>
      <c r="F212" s="535"/>
      <c r="G212" s="537"/>
      <c r="H212" s="537"/>
      <c r="I212" s="537"/>
      <c r="J212" s="537"/>
      <c r="K212" s="537"/>
    </row>
    <row r="213" spans="1:11" ht="21">
      <c r="A213" s="536" t="s">
        <v>265</v>
      </c>
      <c r="B213" s="536">
        <v>830</v>
      </c>
      <c r="C213" s="536">
        <v>245</v>
      </c>
      <c r="D213" s="535"/>
      <c r="E213" s="536"/>
      <c r="F213" s="536"/>
      <c r="G213" s="537"/>
      <c r="H213" s="537"/>
      <c r="I213" s="537"/>
      <c r="J213" s="537"/>
      <c r="K213" s="537"/>
    </row>
    <row r="214" spans="1:11" ht="21">
      <c r="A214" s="535" t="s">
        <v>266</v>
      </c>
      <c r="B214" s="535">
        <v>100</v>
      </c>
      <c r="C214" s="535">
        <v>930</v>
      </c>
      <c r="D214" s="535"/>
      <c r="E214" s="535"/>
      <c r="F214" s="535"/>
      <c r="G214" s="537"/>
      <c r="H214" s="537"/>
      <c r="I214" s="537"/>
      <c r="J214" s="537"/>
      <c r="K214" s="537"/>
    </row>
    <row r="215" spans="1:11" ht="21">
      <c r="A215" s="535" t="s">
        <v>267</v>
      </c>
      <c r="B215" s="535">
        <v>930</v>
      </c>
      <c r="C215" s="535">
        <v>1175</v>
      </c>
      <c r="D215" s="535"/>
      <c r="E215" s="535"/>
      <c r="F215" s="535"/>
      <c r="G215" s="537"/>
      <c r="H215" s="537"/>
      <c r="I215" s="537"/>
      <c r="J215" s="537"/>
      <c r="K215" s="537"/>
    </row>
    <row r="216" spans="1:11" ht="21">
      <c r="A216" s="545"/>
      <c r="B216" s="537"/>
      <c r="C216" s="537"/>
      <c r="D216" s="537"/>
      <c r="E216" s="546"/>
      <c r="F216" s="546"/>
      <c r="G216" s="537"/>
      <c r="H216" s="537"/>
      <c r="I216" s="537"/>
      <c r="J216" s="537"/>
      <c r="K216" s="537"/>
    </row>
    <row r="217" spans="1:11" ht="15.75">
      <c r="A217" s="1114" t="s">
        <v>622</v>
      </c>
      <c r="B217" s="1115"/>
      <c r="C217" s="1115"/>
      <c r="D217" s="1115"/>
      <c r="E217" s="1115"/>
      <c r="F217" s="1115"/>
      <c r="G217" s="1115"/>
      <c r="H217" s="1115"/>
      <c r="I217" s="1115"/>
      <c r="J217" s="1115"/>
      <c r="K217" s="1116"/>
    </row>
    <row r="218" spans="1:11" ht="15.75">
      <c r="A218" s="1114" t="s">
        <v>623</v>
      </c>
      <c r="B218" s="1115"/>
      <c r="C218" s="1115"/>
      <c r="D218" s="1115"/>
      <c r="E218" s="1115"/>
      <c r="F218" s="1115"/>
      <c r="G218" s="1115"/>
      <c r="H218" s="1115"/>
      <c r="I218" s="1115"/>
      <c r="J218" s="1115"/>
      <c r="K218" s="1116"/>
    </row>
    <row r="219" spans="1:11" ht="15.75">
      <c r="A219" s="1114" t="s">
        <v>624</v>
      </c>
      <c r="B219" s="1115"/>
      <c r="C219" s="1115"/>
      <c r="D219" s="1115"/>
      <c r="E219" s="1115"/>
      <c r="F219" s="1115"/>
      <c r="G219" s="1115"/>
      <c r="H219" s="1115"/>
      <c r="I219" s="1115"/>
      <c r="J219" s="1115"/>
      <c r="K219" s="1116"/>
    </row>
    <row r="220" spans="1:11" ht="15.75">
      <c r="A220" s="1121" t="s">
        <v>625</v>
      </c>
      <c r="B220" s="1117"/>
      <c r="C220" s="1117"/>
      <c r="D220" s="1117"/>
      <c r="E220" s="1117"/>
      <c r="F220" s="1117"/>
      <c r="G220" s="1117"/>
      <c r="H220" s="1117"/>
      <c r="I220" s="1117"/>
      <c r="J220" s="1117"/>
      <c r="K220" s="1122"/>
    </row>
    <row r="221" spans="1:11" ht="21">
      <c r="A221" s="1112"/>
      <c r="B221" s="1113"/>
      <c r="C221" s="1113"/>
      <c r="D221" s="1113"/>
      <c r="E221" s="1113"/>
      <c r="F221" s="1113"/>
      <c r="G221" s="1113"/>
      <c r="H221" s="1113"/>
      <c r="I221" s="1113"/>
      <c r="J221" s="1113"/>
      <c r="K221" s="1128"/>
    </row>
    <row r="223" spans="1:11" s="2" customFormat="1">
      <c r="A223" s="164">
        <v>10</v>
      </c>
    </row>
    <row r="225" spans="1:12" ht="15.75">
      <c r="A225" s="1031" t="str">
        <f>"Question 7 - Points "&amp;SUM(L226:L266)</f>
        <v>Question 7 - Points 4</v>
      </c>
      <c r="B225" s="1032"/>
      <c r="C225" s="1032"/>
      <c r="D225" s="1032"/>
      <c r="E225" s="1032"/>
      <c r="F225" s="1032"/>
      <c r="G225" s="1032"/>
      <c r="H225" s="1032"/>
      <c r="I225" s="1032"/>
      <c r="J225" s="1032"/>
      <c r="K225" s="1052"/>
      <c r="L225" s="549" t="s">
        <v>635</v>
      </c>
    </row>
    <row r="226" spans="1:12" ht="15.75">
      <c r="A226" s="1132"/>
      <c r="B226" s="1133"/>
      <c r="C226" s="1133"/>
      <c r="D226" s="1133"/>
      <c r="E226" s="1133"/>
      <c r="F226" s="1133"/>
      <c r="G226" s="1133"/>
      <c r="H226" s="1133"/>
      <c r="I226" s="1133"/>
      <c r="J226" s="1133"/>
      <c r="K226" s="1133"/>
      <c r="L226" s="640"/>
    </row>
    <row r="227" spans="1:12" ht="15.75">
      <c r="A227" s="641" t="s">
        <v>616</v>
      </c>
      <c r="B227" s="641"/>
      <c r="C227" s="641"/>
      <c r="D227" s="641"/>
      <c r="E227" s="641"/>
      <c r="F227" s="641"/>
      <c r="G227" s="547"/>
      <c r="H227" s="547"/>
      <c r="I227" s="547"/>
      <c r="J227" s="547"/>
      <c r="K227" s="547"/>
      <c r="L227" s="642"/>
    </row>
    <row r="228" spans="1:12" ht="15.75">
      <c r="A228" s="643" t="s">
        <v>617</v>
      </c>
      <c r="B228" s="536">
        <v>2021</v>
      </c>
      <c r="C228" s="536">
        <v>2022</v>
      </c>
      <c r="D228" s="643"/>
      <c r="E228" s="536"/>
      <c r="F228" s="536"/>
      <c r="G228" s="548"/>
      <c r="H228" s="548"/>
      <c r="I228" s="548"/>
      <c r="J228" s="548"/>
      <c r="K228" s="548"/>
      <c r="L228" s="642"/>
    </row>
    <row r="229" spans="1:12" ht="31.5">
      <c r="A229" s="538" t="s">
        <v>618</v>
      </c>
      <c r="B229" s="644">
        <v>3300</v>
      </c>
      <c r="C229" s="644">
        <v>3380</v>
      </c>
      <c r="D229" s="644"/>
      <c r="E229" s="644"/>
      <c r="F229" s="644"/>
      <c r="G229" s="548"/>
      <c r="H229" s="548"/>
      <c r="I229" s="548"/>
      <c r="J229" s="548"/>
      <c r="K229" s="548"/>
      <c r="L229" s="642"/>
    </row>
    <row r="230" spans="1:12" ht="15.75">
      <c r="A230" s="643" t="s">
        <v>251</v>
      </c>
      <c r="B230" s="643">
        <v>485</v>
      </c>
      <c r="C230" s="643">
        <v>490</v>
      </c>
      <c r="D230" s="643"/>
      <c r="E230" s="643"/>
      <c r="F230" s="643"/>
      <c r="G230" s="548"/>
      <c r="H230" s="548"/>
      <c r="I230" s="548"/>
      <c r="J230" s="548"/>
      <c r="K230" s="548"/>
      <c r="L230" s="642"/>
    </row>
    <row r="231" spans="1:12" ht="15.75">
      <c r="A231" s="643" t="s">
        <v>619</v>
      </c>
      <c r="B231" s="540">
        <v>-19</v>
      </c>
      <c r="C231" s="540">
        <v>-50</v>
      </c>
      <c r="D231" s="643"/>
      <c r="E231" s="540"/>
      <c r="F231" s="540"/>
      <c r="G231" s="548"/>
      <c r="H231" s="548"/>
      <c r="I231" s="548"/>
      <c r="J231" s="548"/>
      <c r="K231" s="548"/>
      <c r="L231" s="642"/>
    </row>
    <row r="232" spans="1:12" ht="15.75">
      <c r="A232" s="643" t="s">
        <v>620</v>
      </c>
      <c r="B232" s="540">
        <v>-30</v>
      </c>
      <c r="C232" s="540">
        <v>-40</v>
      </c>
      <c r="D232" s="643"/>
      <c r="E232" s="540"/>
      <c r="F232" s="540"/>
      <c r="G232" s="548"/>
      <c r="H232" s="548"/>
      <c r="I232" s="548"/>
      <c r="J232" s="548"/>
      <c r="K232" s="548"/>
      <c r="L232" s="642"/>
    </row>
    <row r="233" spans="1:12" ht="15.75">
      <c r="A233" s="643" t="s">
        <v>621</v>
      </c>
      <c r="B233" s="643">
        <v>0</v>
      </c>
      <c r="C233" s="643">
        <v>0</v>
      </c>
      <c r="D233" s="643"/>
      <c r="E233" s="643"/>
      <c r="F233" s="643"/>
      <c r="G233" s="548"/>
      <c r="H233" s="548"/>
      <c r="I233" s="548"/>
      <c r="J233" s="548"/>
      <c r="K233" s="548"/>
      <c r="L233" s="642"/>
    </row>
    <row r="234" spans="1:12" ht="15.75">
      <c r="A234" s="643" t="s">
        <v>255</v>
      </c>
      <c r="B234" s="643">
        <v>0</v>
      </c>
      <c r="C234" s="540">
        <v>0</v>
      </c>
      <c r="D234" s="643"/>
      <c r="E234" s="643"/>
      <c r="F234" s="540"/>
      <c r="G234" s="548"/>
      <c r="H234" s="548"/>
      <c r="I234" s="548"/>
      <c r="J234" s="548"/>
      <c r="K234" s="548"/>
      <c r="L234" s="642"/>
    </row>
    <row r="235" spans="1:12" ht="15.75">
      <c r="A235" s="542" t="s">
        <v>299</v>
      </c>
      <c r="B235" s="543">
        <f>SUM(B229:B234)</f>
        <v>3736</v>
      </c>
      <c r="C235" s="543">
        <f>SUM(C229:C234)</f>
        <v>3780</v>
      </c>
      <c r="D235" s="644"/>
      <c r="E235" s="543"/>
      <c r="F235" s="543"/>
      <c r="G235" s="548"/>
      <c r="H235" s="548"/>
      <c r="I235" s="548"/>
      <c r="J235" s="548"/>
      <c r="K235" s="548"/>
      <c r="L235" s="642"/>
    </row>
    <row r="236" spans="1:12" ht="15.75">
      <c r="A236" s="645"/>
      <c r="B236" s="536"/>
      <c r="C236" s="536"/>
      <c r="D236" s="643"/>
      <c r="E236" s="536"/>
      <c r="F236" s="536"/>
      <c r="G236" s="548"/>
      <c r="H236" s="548"/>
      <c r="I236" s="548"/>
      <c r="J236" s="548"/>
      <c r="K236" s="548"/>
      <c r="L236" s="642"/>
    </row>
    <row r="237" spans="1:12" ht="15.75">
      <c r="A237" s="646"/>
      <c r="B237" s="647"/>
      <c r="C237" s="647"/>
      <c r="D237" s="648"/>
      <c r="E237" s="647"/>
      <c r="F237" s="647"/>
      <c r="G237" s="548"/>
      <c r="H237" s="548"/>
      <c r="I237" s="548"/>
      <c r="J237" s="548"/>
      <c r="K237" s="548"/>
      <c r="L237" s="642"/>
    </row>
    <row r="238" spans="1:12" ht="15.75">
      <c r="A238" s="646"/>
      <c r="B238" s="647"/>
      <c r="C238" s="647"/>
      <c r="D238" s="648"/>
      <c r="E238" s="647"/>
      <c r="F238" s="647"/>
      <c r="G238" s="548"/>
      <c r="H238" s="548"/>
      <c r="I238" s="548"/>
      <c r="J238" s="548"/>
      <c r="K238" s="548"/>
      <c r="L238" s="642"/>
    </row>
    <row r="239" spans="1:12" ht="15.75">
      <c r="A239" s="646"/>
      <c r="B239" s="647"/>
      <c r="C239" s="647"/>
      <c r="D239" s="648"/>
      <c r="E239" s="647"/>
      <c r="F239" s="647"/>
      <c r="G239" s="548"/>
      <c r="H239" s="548"/>
      <c r="I239" s="548"/>
      <c r="J239" s="548"/>
      <c r="K239" s="548"/>
      <c r="L239" s="642"/>
    </row>
    <row r="240" spans="1:12" ht="15.75">
      <c r="A240" s="646"/>
      <c r="B240" s="647"/>
      <c r="C240" s="647"/>
      <c r="D240" s="648"/>
      <c r="E240" s="647"/>
      <c r="F240" s="647"/>
      <c r="G240" s="548"/>
      <c r="H240" s="548"/>
      <c r="I240" s="548"/>
      <c r="J240" s="548"/>
      <c r="K240" s="548"/>
      <c r="L240" s="642"/>
    </row>
    <row r="241" spans="1:12" ht="15.75">
      <c r="A241" s="649" t="s">
        <v>300</v>
      </c>
      <c r="B241" s="650" t="s">
        <v>662</v>
      </c>
      <c r="C241" s="650" t="s">
        <v>662</v>
      </c>
      <c r="D241" s="648"/>
      <c r="E241" s="648"/>
      <c r="F241" s="648"/>
      <c r="G241" s="548"/>
      <c r="H241" s="548"/>
      <c r="I241" s="548"/>
      <c r="J241" s="548"/>
      <c r="K241" s="548"/>
      <c r="L241" s="642"/>
    </row>
    <row r="242" spans="1:12" ht="15.75">
      <c r="A242" s="643" t="s">
        <v>261</v>
      </c>
      <c r="B242" s="643">
        <v>0</v>
      </c>
      <c r="C242" s="643">
        <v>0</v>
      </c>
      <c r="D242" s="643"/>
      <c r="E242" s="643"/>
      <c r="F242" s="643"/>
      <c r="G242" s="548"/>
      <c r="H242" s="548"/>
      <c r="I242" s="548"/>
      <c r="J242" s="548"/>
      <c r="K242" s="548"/>
      <c r="L242" s="642"/>
    </row>
    <row r="243" spans="1:12" ht="15.75">
      <c r="A243" s="643" t="s">
        <v>262</v>
      </c>
      <c r="B243" s="540">
        <v>-1000</v>
      </c>
      <c r="C243" s="540">
        <v>-1000</v>
      </c>
      <c r="D243" s="643"/>
      <c r="E243" s="540"/>
      <c r="F243" s="540"/>
      <c r="G243" s="548"/>
      <c r="H243" s="548"/>
      <c r="I243" s="548"/>
      <c r="J243" s="548"/>
      <c r="K243" s="548"/>
      <c r="L243" s="642"/>
    </row>
    <row r="244" spans="1:12" ht="15.75">
      <c r="A244" s="643" t="s">
        <v>263</v>
      </c>
      <c r="B244" s="540">
        <v>-500</v>
      </c>
      <c r="C244" s="540">
        <v>-500</v>
      </c>
      <c r="D244" s="643"/>
      <c r="E244" s="540"/>
      <c r="F244" s="540"/>
      <c r="G244" s="548"/>
      <c r="H244" s="548"/>
      <c r="I244" s="548"/>
      <c r="J244" s="548"/>
      <c r="K244" s="548"/>
      <c r="L244" s="642"/>
    </row>
    <row r="245" spans="1:12" ht="15.75">
      <c r="A245" s="542" t="s">
        <v>301</v>
      </c>
      <c r="B245" s="542">
        <v>-1500</v>
      </c>
      <c r="C245" s="542">
        <v>-1500</v>
      </c>
      <c r="D245" s="644"/>
      <c r="E245" s="542"/>
      <c r="F245" s="542"/>
      <c r="G245" s="548"/>
      <c r="H245" s="548"/>
      <c r="I245" s="548"/>
      <c r="J245" s="548"/>
      <c r="K245" s="548"/>
      <c r="L245" s="642"/>
    </row>
    <row r="246" spans="1:12" ht="15.75">
      <c r="A246" s="651"/>
      <c r="B246" s="651"/>
      <c r="C246" s="651"/>
      <c r="D246" s="652"/>
      <c r="E246" s="651"/>
      <c r="F246" s="651"/>
      <c r="G246" s="548"/>
      <c r="H246" s="548"/>
      <c r="I246" s="548"/>
      <c r="J246" s="548"/>
      <c r="K246" s="548"/>
      <c r="L246" s="642"/>
    </row>
    <row r="247" spans="1:12" ht="16.149999999999999" thickBot="1">
      <c r="A247" s="1134" t="s">
        <v>663</v>
      </c>
      <c r="B247" s="1134"/>
      <c r="C247" s="1134"/>
      <c r="D247" s="1134"/>
      <c r="E247" s="1134"/>
      <c r="F247" s="1134"/>
      <c r="G247" s="548"/>
      <c r="H247" s="548"/>
      <c r="I247" s="548"/>
      <c r="J247" s="548"/>
      <c r="K247" s="548"/>
      <c r="L247" s="642"/>
    </row>
    <row r="248" spans="1:12" ht="15.75">
      <c r="A248" s="653" t="s">
        <v>130</v>
      </c>
      <c r="B248" s="654"/>
      <c r="C248" s="654"/>
      <c r="D248" s="654"/>
      <c r="E248" s="654"/>
      <c r="F248" s="655"/>
      <c r="G248" s="548"/>
      <c r="H248" s="548"/>
      <c r="I248" s="548"/>
      <c r="J248" s="548"/>
      <c r="K248" s="548"/>
      <c r="L248" s="642"/>
    </row>
    <row r="249" spans="1:12" ht="15.75">
      <c r="A249" s="656" t="s">
        <v>257</v>
      </c>
      <c r="B249" s="657">
        <v>-10</v>
      </c>
      <c r="C249" s="657">
        <v>-10</v>
      </c>
      <c r="D249" s="652"/>
      <c r="E249" s="652"/>
      <c r="F249" s="658"/>
      <c r="G249" s="548"/>
      <c r="H249" s="548"/>
      <c r="I249" s="548"/>
      <c r="J249" s="548"/>
      <c r="K249" s="548"/>
      <c r="L249" s="642"/>
    </row>
    <row r="250" spans="1:12" ht="15.75">
      <c r="A250" s="656" t="s">
        <v>258</v>
      </c>
      <c r="B250" s="657">
        <v>-20</v>
      </c>
      <c r="C250" s="657">
        <v>-25</v>
      </c>
      <c r="D250" s="652"/>
      <c r="E250" s="652"/>
      <c r="F250" s="658"/>
      <c r="G250" s="548"/>
      <c r="H250" s="548"/>
      <c r="I250" s="548"/>
      <c r="J250" s="548"/>
      <c r="K250" s="548"/>
      <c r="L250" s="642"/>
    </row>
    <row r="251" spans="1:12" ht="15.75">
      <c r="A251" s="656" t="s">
        <v>259</v>
      </c>
      <c r="B251" s="657">
        <v>-1270</v>
      </c>
      <c r="C251" s="657">
        <v>-1865</v>
      </c>
      <c r="D251" s="652"/>
      <c r="E251" s="657"/>
      <c r="F251" s="659"/>
      <c r="G251" s="548"/>
      <c r="H251" s="548"/>
      <c r="I251" s="548"/>
      <c r="J251" s="548"/>
      <c r="K251" s="548"/>
      <c r="L251" s="642"/>
    </row>
    <row r="252" spans="1:12" ht="16.149999999999999" thickBot="1">
      <c r="A252" s="660" t="s">
        <v>300</v>
      </c>
      <c r="B252" s="661">
        <v>-1300</v>
      </c>
      <c r="C252" s="661">
        <v>-1900</v>
      </c>
      <c r="D252" s="662"/>
      <c r="E252" s="661"/>
      <c r="F252" s="663"/>
      <c r="G252" s="548"/>
      <c r="H252" s="548"/>
      <c r="I252" s="548"/>
      <c r="J252" s="548"/>
      <c r="K252" s="548"/>
      <c r="L252" s="642"/>
    </row>
    <row r="253" spans="1:12" ht="16.149999999999999" thickBot="1">
      <c r="A253" s="637"/>
      <c r="B253" s="637"/>
      <c r="C253" s="637"/>
      <c r="D253" s="637"/>
      <c r="E253" s="637"/>
      <c r="F253" s="637"/>
      <c r="G253" s="548"/>
      <c r="H253" s="548"/>
      <c r="I253" s="548"/>
      <c r="J253" s="548"/>
      <c r="K253" s="548"/>
      <c r="L253" s="642"/>
    </row>
    <row r="254" spans="1:12" ht="15.75">
      <c r="A254" s="664" t="s">
        <v>131</v>
      </c>
      <c r="B254" s="654"/>
      <c r="C254" s="654"/>
      <c r="D254" s="654"/>
      <c r="E254" s="654"/>
      <c r="F254" s="655"/>
      <c r="G254" s="548"/>
      <c r="H254" s="548"/>
      <c r="I254" s="548"/>
      <c r="J254" s="548"/>
      <c r="K254" s="548"/>
      <c r="L254" s="642"/>
    </row>
    <row r="255" spans="1:12" ht="15.75">
      <c r="A255" s="656" t="s">
        <v>257</v>
      </c>
      <c r="B255" s="657">
        <v>-700</v>
      </c>
      <c r="C255" s="657">
        <v>-800</v>
      </c>
      <c r="D255" s="652"/>
      <c r="E255" s="652"/>
      <c r="F255" s="658"/>
      <c r="G255" s="548"/>
      <c r="H255" s="548"/>
      <c r="I255" s="548"/>
      <c r="J255" s="548"/>
      <c r="K255" s="548"/>
      <c r="L255" s="642"/>
    </row>
    <row r="256" spans="1:12" ht="15.75">
      <c r="A256" s="656" t="s">
        <v>258</v>
      </c>
      <c r="B256" s="657">
        <v>-600</v>
      </c>
      <c r="C256" s="657">
        <v>-900</v>
      </c>
      <c r="D256" s="652"/>
      <c r="E256" s="652"/>
      <c r="F256" s="658"/>
      <c r="G256" s="548"/>
      <c r="H256" s="548"/>
      <c r="I256" s="548"/>
      <c r="J256" s="548"/>
      <c r="K256" s="548"/>
      <c r="L256" s="642"/>
    </row>
    <row r="257" spans="1:12" ht="15.75">
      <c r="A257" s="656" t="s">
        <v>259</v>
      </c>
      <c r="B257" s="657">
        <v>-20</v>
      </c>
      <c r="C257" s="657">
        <v>-30</v>
      </c>
      <c r="D257" s="652"/>
      <c r="E257" s="657"/>
      <c r="F257" s="659"/>
      <c r="G257" s="548"/>
      <c r="H257" s="548"/>
      <c r="I257" s="548"/>
      <c r="J257" s="548"/>
      <c r="K257" s="548"/>
      <c r="L257" s="642"/>
    </row>
    <row r="258" spans="1:12" ht="16.149999999999999" thickBot="1">
      <c r="A258" s="660" t="s">
        <v>300</v>
      </c>
      <c r="B258" s="661">
        <v>-1320</v>
      </c>
      <c r="C258" s="661">
        <v>-1930</v>
      </c>
      <c r="D258" s="662"/>
      <c r="E258" s="661"/>
      <c r="F258" s="663"/>
      <c r="G258" s="548"/>
      <c r="H258" s="548"/>
      <c r="I258" s="548"/>
      <c r="J258" s="548"/>
      <c r="K258" s="548"/>
      <c r="L258" s="642"/>
    </row>
    <row r="259" spans="1:12" ht="16.149999999999999" thickBot="1">
      <c r="A259" s="637"/>
      <c r="B259" s="637"/>
      <c r="C259" s="637"/>
      <c r="D259" s="637"/>
      <c r="E259" s="637"/>
      <c r="F259" s="637"/>
      <c r="G259" s="548"/>
      <c r="H259" s="548"/>
      <c r="I259" s="548"/>
      <c r="J259" s="548"/>
      <c r="K259" s="548"/>
      <c r="L259" s="642"/>
    </row>
    <row r="260" spans="1:12" ht="15.75">
      <c r="A260" s="664" t="s">
        <v>132</v>
      </c>
      <c r="B260" s="654"/>
      <c r="C260" s="654"/>
      <c r="D260" s="654"/>
      <c r="E260" s="654"/>
      <c r="F260" s="655"/>
      <c r="G260" s="548"/>
      <c r="H260" s="548"/>
      <c r="I260" s="548"/>
      <c r="J260" s="548"/>
      <c r="K260" s="548"/>
      <c r="L260" s="642"/>
    </row>
    <row r="261" spans="1:12" ht="15.75">
      <c r="A261" s="656" t="s">
        <v>257</v>
      </c>
      <c r="B261" s="652">
        <v>1000</v>
      </c>
      <c r="C261" s="652">
        <v>1100</v>
      </c>
      <c r="D261" s="652"/>
      <c r="E261" s="652"/>
      <c r="F261" s="658"/>
      <c r="G261" s="548"/>
      <c r="H261" s="548"/>
      <c r="I261" s="548"/>
      <c r="J261" s="548"/>
      <c r="K261" s="548"/>
      <c r="L261" s="642"/>
    </row>
    <row r="262" spans="1:12" ht="15.75">
      <c r="A262" s="656" t="s">
        <v>258</v>
      </c>
      <c r="B262" s="652">
        <v>500</v>
      </c>
      <c r="C262" s="652">
        <v>600</v>
      </c>
      <c r="D262" s="652"/>
      <c r="E262" s="652"/>
      <c r="F262" s="658"/>
      <c r="G262" s="548"/>
      <c r="H262" s="548"/>
      <c r="I262" s="548"/>
      <c r="J262" s="548"/>
      <c r="K262" s="548"/>
      <c r="L262" s="642"/>
    </row>
    <row r="263" spans="1:12" ht="15.75">
      <c r="A263" s="656" t="s">
        <v>259</v>
      </c>
      <c r="B263" s="665">
        <v>10</v>
      </c>
      <c r="C263" s="665">
        <v>20</v>
      </c>
      <c r="D263" s="652"/>
      <c r="E263" s="657"/>
      <c r="F263" s="659"/>
      <c r="G263" s="548"/>
      <c r="H263" s="548"/>
      <c r="I263" s="548"/>
      <c r="J263" s="548"/>
      <c r="K263" s="548"/>
      <c r="L263" s="642"/>
    </row>
    <row r="264" spans="1:12" ht="16.149999999999999" thickBot="1">
      <c r="A264" s="660" t="s">
        <v>300</v>
      </c>
      <c r="B264" s="666">
        <v>1510</v>
      </c>
      <c r="C264" s="666">
        <v>1720</v>
      </c>
      <c r="D264" s="662"/>
      <c r="E264" s="661"/>
      <c r="F264" s="663"/>
      <c r="G264" s="548"/>
      <c r="H264" s="548"/>
      <c r="I264" s="548"/>
      <c r="J264" s="548"/>
      <c r="K264" s="548"/>
      <c r="L264" s="642"/>
    </row>
    <row r="265" spans="1:12" ht="15.75">
      <c r="A265" s="560"/>
      <c r="B265" s="560"/>
      <c r="C265" s="560"/>
      <c r="D265" s="560"/>
      <c r="E265" s="560"/>
      <c r="F265" s="560"/>
      <c r="G265" s="560"/>
      <c r="H265" s="560"/>
      <c r="I265" s="560"/>
      <c r="J265" s="560"/>
      <c r="K265" s="560"/>
      <c r="L265" s="560"/>
    </row>
    <row r="266" spans="1:12" ht="37.5" customHeight="1">
      <c r="A266" s="1114" t="s">
        <v>664</v>
      </c>
      <c r="B266" s="1115"/>
      <c r="C266" s="1115"/>
      <c r="D266" s="1115"/>
      <c r="E266" s="1115"/>
      <c r="F266" s="1115"/>
      <c r="G266" s="1115"/>
      <c r="H266" s="1115"/>
      <c r="I266" s="1115"/>
      <c r="J266" s="1115"/>
      <c r="K266" s="1116"/>
      <c r="L266" s="667">
        <v>4</v>
      </c>
    </row>
    <row r="268" spans="1:12" s="2" customFormat="1">
      <c r="A268" s="164">
        <v>11</v>
      </c>
    </row>
    <row r="270" spans="1:12" ht="14.65" thickBot="1">
      <c r="A270" s="1135" t="str">
        <f>"Question 8 - Points "&amp;SUM(L271:L311)</f>
        <v>Question 8 - Points 2</v>
      </c>
      <c r="B270" s="1136"/>
      <c r="C270" s="1136"/>
      <c r="D270" s="1136"/>
      <c r="E270" s="1136"/>
      <c r="F270" s="1136"/>
      <c r="G270" s="1136"/>
      <c r="H270" s="1136"/>
      <c r="I270" s="1136"/>
      <c r="J270" s="1136"/>
      <c r="K270" s="1137"/>
      <c r="L270" s="668"/>
    </row>
    <row r="271" spans="1:12">
      <c r="A271" s="497"/>
      <c r="B271" s="669" t="s">
        <v>665</v>
      </c>
      <c r="C271" s="669" t="s">
        <v>666</v>
      </c>
      <c r="D271" s="670" t="s">
        <v>667</v>
      </c>
      <c r="E271" s="671"/>
      <c r="F271" s="671"/>
      <c r="G271" s="671"/>
      <c r="H271" s="671"/>
      <c r="I271" s="671"/>
      <c r="J271" s="671"/>
      <c r="K271" s="672"/>
      <c r="L271" s="668"/>
    </row>
    <row r="272" spans="1:12">
      <c r="A272" s="673" t="s">
        <v>3</v>
      </c>
      <c r="B272" s="674">
        <v>150000</v>
      </c>
      <c r="C272" s="674">
        <v>200000</v>
      </c>
      <c r="D272" s="675">
        <v>240000</v>
      </c>
      <c r="E272" s="671"/>
      <c r="F272" s="671"/>
      <c r="G272" s="671"/>
      <c r="H272" s="671"/>
      <c r="I272" s="671"/>
      <c r="J272" s="671"/>
      <c r="K272" s="672"/>
      <c r="L272" s="668"/>
    </row>
    <row r="273" spans="1:21" ht="14.65" thickBot="1">
      <c r="A273" s="676" t="s">
        <v>668</v>
      </c>
      <c r="B273" s="677">
        <v>6</v>
      </c>
      <c r="C273" s="677">
        <v>6</v>
      </c>
      <c r="D273" s="678">
        <v>6</v>
      </c>
      <c r="E273" s="671"/>
      <c r="F273" s="671"/>
      <c r="G273" s="671"/>
      <c r="H273" s="671"/>
      <c r="I273" s="671"/>
      <c r="J273" s="671"/>
      <c r="K273" s="672"/>
      <c r="L273" s="668"/>
    </row>
    <row r="274" spans="1:21">
      <c r="A274" s="1129" t="s">
        <v>669</v>
      </c>
      <c r="B274" s="1130"/>
      <c r="C274" s="1130"/>
      <c r="D274" s="1130"/>
      <c r="E274" s="1130"/>
      <c r="F274" s="1130"/>
      <c r="G274" s="1130"/>
      <c r="H274" s="1130"/>
      <c r="I274" s="1130"/>
      <c r="J274" s="1130"/>
      <c r="K274" s="1131"/>
      <c r="L274" s="668">
        <v>2</v>
      </c>
    </row>
    <row r="276" spans="1:21" s="2" customFormat="1">
      <c r="A276" s="164">
        <v>12</v>
      </c>
    </row>
    <row r="277" spans="1:21" ht="14.65" thickBot="1"/>
    <row r="278" spans="1:21" ht="18.399999999999999" thickBot="1">
      <c r="A278" s="681" t="s">
        <v>727</v>
      </c>
      <c r="B278" s="688"/>
      <c r="C278" s="688"/>
      <c r="D278" s="688"/>
      <c r="E278" s="688"/>
      <c r="F278" s="688"/>
      <c r="G278" s="688"/>
      <c r="H278" s="688"/>
      <c r="I278" s="688"/>
      <c r="J278" s="688"/>
      <c r="K278" s="688"/>
      <c r="L278" s="688"/>
      <c r="M278" s="688"/>
      <c r="N278" s="688"/>
      <c r="O278" s="688"/>
      <c r="P278" s="688"/>
      <c r="Q278" s="688"/>
      <c r="R278" s="688"/>
      <c r="S278" s="688"/>
      <c r="T278" s="688"/>
      <c r="U278" s="679"/>
    </row>
    <row r="279" spans="1:21" ht="18">
      <c r="A279" s="554"/>
      <c r="B279" s="554"/>
      <c r="C279" s="554"/>
      <c r="D279" s="554"/>
      <c r="E279" s="554"/>
      <c r="F279" s="554"/>
      <c r="G279" s="554"/>
      <c r="H279" s="554"/>
      <c r="I279" s="554"/>
      <c r="J279" s="554"/>
      <c r="K279" s="554"/>
      <c r="L279" s="554"/>
      <c r="M279" s="554"/>
      <c r="N279" s="554"/>
      <c r="O279" s="554"/>
      <c r="P279" s="554"/>
      <c r="Q279" s="554"/>
      <c r="R279" s="554"/>
      <c r="S279" s="554"/>
      <c r="T279" s="554"/>
      <c r="U279" s="679"/>
    </row>
    <row r="280" spans="1:21" ht="21">
      <c r="A280" s="680" t="s">
        <v>145</v>
      </c>
      <c r="B280" s="682"/>
      <c r="C280" s="682"/>
      <c r="D280" s="682"/>
      <c r="E280" s="682"/>
      <c r="F280" s="719">
        <v>44926</v>
      </c>
      <c r="G280" s="719">
        <v>45291</v>
      </c>
      <c r="H280" s="720"/>
      <c r="I280" s="720"/>
      <c r="J280" s="720"/>
      <c r="K280" s="720"/>
      <c r="L280" s="720"/>
      <c r="M280" s="719">
        <v>44926</v>
      </c>
      <c r="N280" s="721">
        <v>45291</v>
      </c>
      <c r="O280" s="554"/>
      <c r="P280" s="554"/>
      <c r="Q280" s="554"/>
      <c r="R280" s="554"/>
      <c r="S280" s="554"/>
      <c r="T280" s="554"/>
      <c r="U280" s="679"/>
    </row>
    <row r="281" spans="1:21" ht="18">
      <c r="A281" s="722"/>
      <c r="B281" s="723"/>
      <c r="C281" s="723"/>
      <c r="D281" s="723"/>
      <c r="E281" s="723"/>
      <c r="F281" s="723"/>
      <c r="G281" s="723"/>
      <c r="H281" s="723"/>
      <c r="I281" s="723"/>
      <c r="J281" s="723"/>
      <c r="K281" s="723"/>
      <c r="L281" s="723"/>
      <c r="M281" s="723"/>
      <c r="N281" s="724"/>
      <c r="O281" s="554"/>
      <c r="P281" s="554"/>
      <c r="Q281" s="554"/>
      <c r="R281" s="554"/>
      <c r="S281" s="554"/>
      <c r="T281" s="554"/>
      <c r="U281" s="679"/>
    </row>
    <row r="282" spans="1:21" ht="18">
      <c r="A282" s="722" t="s">
        <v>670</v>
      </c>
      <c r="B282" s="723"/>
      <c r="C282" s="723"/>
      <c r="D282" s="723"/>
      <c r="E282" s="723"/>
      <c r="F282" s="705">
        <v>36180</v>
      </c>
      <c r="G282" s="705">
        <v>56620</v>
      </c>
      <c r="H282" s="723"/>
      <c r="I282" s="723" t="s">
        <v>671</v>
      </c>
      <c r="J282" s="723"/>
      <c r="K282" s="723"/>
      <c r="L282" s="723"/>
      <c r="M282" s="705">
        <v>15480</v>
      </c>
      <c r="N282" s="706">
        <v>10320</v>
      </c>
      <c r="O282" s="725"/>
      <c r="P282" s="554"/>
      <c r="Q282" s="554"/>
      <c r="R282" s="554"/>
      <c r="S282" s="554"/>
      <c r="T282" s="554"/>
      <c r="U282" s="679"/>
    </row>
    <row r="283" spans="1:21" ht="18">
      <c r="A283" s="722" t="s">
        <v>672</v>
      </c>
      <c r="B283" s="723"/>
      <c r="C283" s="723"/>
      <c r="D283" s="723"/>
      <c r="E283" s="723"/>
      <c r="F283" s="705">
        <v>68800</v>
      </c>
      <c r="G283" s="705">
        <v>41800</v>
      </c>
      <c r="H283" s="723"/>
      <c r="I283" s="723" t="s">
        <v>673</v>
      </c>
      <c r="J283" s="723"/>
      <c r="K283" s="723"/>
      <c r="L283" s="723"/>
      <c r="M283" s="705">
        <v>2300</v>
      </c>
      <c r="N283" s="706">
        <v>4100</v>
      </c>
      <c r="O283" s="725"/>
      <c r="P283" s="554"/>
      <c r="Q283" s="554"/>
      <c r="R283" s="554"/>
      <c r="S283" s="554"/>
      <c r="T283" s="554"/>
      <c r="U283" s="679"/>
    </row>
    <row r="284" spans="1:21" ht="18">
      <c r="A284" s="722" t="s">
        <v>674</v>
      </c>
      <c r="B284" s="723"/>
      <c r="C284" s="723"/>
      <c r="D284" s="723"/>
      <c r="E284" s="723"/>
      <c r="F284" s="705">
        <v>5160</v>
      </c>
      <c r="G284" s="705">
        <v>7740</v>
      </c>
      <c r="H284" s="723"/>
      <c r="I284" s="723" t="s">
        <v>675</v>
      </c>
      <c r="J284" s="723"/>
      <c r="K284" s="723"/>
      <c r="L284" s="723"/>
      <c r="M284" s="705">
        <v>44000</v>
      </c>
      <c r="N284" s="706">
        <v>45877</v>
      </c>
      <c r="O284" s="725"/>
      <c r="P284" s="554"/>
      <c r="Q284" s="554"/>
      <c r="R284" s="554"/>
      <c r="S284" s="554"/>
      <c r="T284" s="554"/>
      <c r="U284" s="679"/>
    </row>
    <row r="285" spans="1:21" ht="18">
      <c r="A285" s="722" t="s">
        <v>676</v>
      </c>
      <c r="B285" s="723"/>
      <c r="C285" s="723"/>
      <c r="D285" s="723"/>
      <c r="E285" s="723"/>
      <c r="F285" s="705">
        <v>16200</v>
      </c>
      <c r="G285" s="705">
        <v>17300</v>
      </c>
      <c r="H285" s="723"/>
      <c r="I285" s="723" t="s">
        <v>677</v>
      </c>
      <c r="J285" s="723"/>
      <c r="K285" s="723"/>
      <c r="L285" s="723"/>
      <c r="M285" s="705">
        <v>125000</v>
      </c>
      <c r="N285" s="706">
        <v>125000</v>
      </c>
      <c r="O285" s="554"/>
      <c r="P285" s="554"/>
      <c r="Q285" s="554"/>
      <c r="R285" s="554"/>
      <c r="S285" s="554"/>
      <c r="T285" s="554"/>
      <c r="U285" s="679"/>
    </row>
    <row r="286" spans="1:21" ht="19.899999999999999">
      <c r="A286" s="722" t="s">
        <v>678</v>
      </c>
      <c r="B286" s="723"/>
      <c r="C286" s="723"/>
      <c r="D286" s="723"/>
      <c r="E286" s="723"/>
      <c r="F286" s="707">
        <v>2100</v>
      </c>
      <c r="G286" s="707">
        <v>101070</v>
      </c>
      <c r="H286" s="723"/>
      <c r="I286" s="723" t="s">
        <v>679</v>
      </c>
      <c r="J286" s="723"/>
      <c r="K286" s="723"/>
      <c r="L286" s="723"/>
      <c r="M286" s="707">
        <v>0</v>
      </c>
      <c r="N286" s="708">
        <v>91000</v>
      </c>
      <c r="O286" s="554"/>
      <c r="P286" s="554"/>
      <c r="Q286" s="554"/>
      <c r="R286" s="554"/>
      <c r="S286" s="554"/>
      <c r="T286" s="554"/>
      <c r="U286" s="679"/>
    </row>
    <row r="287" spans="1:21" ht="18">
      <c r="A287" s="726" t="s">
        <v>680</v>
      </c>
      <c r="B287" s="723"/>
      <c r="C287" s="723"/>
      <c r="D287" s="723"/>
      <c r="E287" s="723"/>
      <c r="F287" s="709">
        <v>128440</v>
      </c>
      <c r="G287" s="709">
        <v>224530</v>
      </c>
      <c r="H287" s="723"/>
      <c r="I287" s="727" t="s">
        <v>681</v>
      </c>
      <c r="J287" s="723"/>
      <c r="K287" s="723"/>
      <c r="L287" s="723"/>
      <c r="M287" s="709">
        <v>186780</v>
      </c>
      <c r="N287" s="710">
        <v>276297</v>
      </c>
      <c r="O287" s="554"/>
      <c r="P287" s="554"/>
      <c r="Q287" s="554"/>
      <c r="R287" s="554"/>
      <c r="S287" s="554"/>
      <c r="T287" s="554"/>
      <c r="U287" s="679"/>
    </row>
    <row r="288" spans="1:21" ht="18">
      <c r="A288" s="722"/>
      <c r="B288" s="723"/>
      <c r="C288" s="723"/>
      <c r="D288" s="723"/>
      <c r="E288" s="723"/>
      <c r="F288" s="705"/>
      <c r="G288" s="705"/>
      <c r="H288" s="723"/>
      <c r="I288" s="723"/>
      <c r="J288" s="723"/>
      <c r="K288" s="723"/>
      <c r="L288" s="723"/>
      <c r="M288" s="705"/>
      <c r="N288" s="706"/>
      <c r="O288" s="554"/>
      <c r="P288" s="554"/>
      <c r="Q288" s="554"/>
      <c r="R288" s="554"/>
      <c r="S288" s="554"/>
      <c r="T288" s="554"/>
      <c r="U288" s="679"/>
    </row>
    <row r="289" spans="1:21" ht="18">
      <c r="A289" s="722" t="s">
        <v>682</v>
      </c>
      <c r="B289" s="723"/>
      <c r="C289" s="723"/>
      <c r="D289" s="723"/>
      <c r="E289" s="723"/>
      <c r="F289" s="705">
        <v>580000</v>
      </c>
      <c r="G289" s="705">
        <v>580000</v>
      </c>
      <c r="H289" s="723"/>
      <c r="I289" s="723" t="s">
        <v>683</v>
      </c>
      <c r="J289" s="723"/>
      <c r="K289" s="723"/>
      <c r="L289" s="723"/>
      <c r="M289" s="705">
        <v>1250000</v>
      </c>
      <c r="N289" s="706">
        <v>1725000</v>
      </c>
      <c r="O289" s="554"/>
      <c r="P289" s="554"/>
      <c r="Q289" s="554"/>
      <c r="R289" s="554"/>
      <c r="S289" s="554"/>
      <c r="T289" s="554"/>
      <c r="U289" s="679"/>
    </row>
    <row r="290" spans="1:21" ht="18">
      <c r="A290" s="722" t="s">
        <v>684</v>
      </c>
      <c r="B290" s="723"/>
      <c r="C290" s="723"/>
      <c r="D290" s="723"/>
      <c r="E290" s="723"/>
      <c r="F290" s="705">
        <v>-116000</v>
      </c>
      <c r="G290" s="705">
        <v>-232000</v>
      </c>
      <c r="H290" s="723"/>
      <c r="I290" s="723" t="s">
        <v>637</v>
      </c>
      <c r="J290" s="723"/>
      <c r="K290" s="723"/>
      <c r="L290" s="723"/>
      <c r="M290" s="705">
        <v>120000</v>
      </c>
      <c r="N290" s="706">
        <v>120000</v>
      </c>
      <c r="O290" s="554"/>
      <c r="P290" s="554"/>
      <c r="Q290" s="554"/>
      <c r="R290" s="554"/>
      <c r="S290" s="554"/>
      <c r="T290" s="554"/>
      <c r="U290" s="679"/>
    </row>
    <row r="291" spans="1:21" ht="18">
      <c r="A291" s="722" t="s">
        <v>685</v>
      </c>
      <c r="B291" s="723"/>
      <c r="C291" s="723"/>
      <c r="D291" s="723"/>
      <c r="E291" s="723"/>
      <c r="F291" s="705">
        <v>920000</v>
      </c>
      <c r="G291" s="705">
        <v>1590000</v>
      </c>
      <c r="H291" s="723"/>
      <c r="I291" s="723" t="s">
        <v>686</v>
      </c>
      <c r="J291" s="723"/>
      <c r="K291" s="723"/>
      <c r="L291" s="723"/>
      <c r="M291" s="705">
        <v>85000</v>
      </c>
      <c r="N291" s="706">
        <v>85000</v>
      </c>
      <c r="O291" s="554"/>
      <c r="P291" s="554"/>
      <c r="Q291" s="554"/>
      <c r="R291" s="554"/>
      <c r="S291" s="554"/>
      <c r="T291" s="554"/>
      <c r="U291" s="679"/>
    </row>
    <row r="292" spans="1:21" ht="19.899999999999999">
      <c r="A292" s="722" t="s">
        <v>687</v>
      </c>
      <c r="B292" s="723"/>
      <c r="C292" s="723"/>
      <c r="D292" s="723"/>
      <c r="E292" s="723"/>
      <c r="F292" s="705">
        <v>-46000</v>
      </c>
      <c r="G292" s="705">
        <v>-92000</v>
      </c>
      <c r="H292" s="723"/>
      <c r="I292" s="723" t="s">
        <v>688</v>
      </c>
      <c r="J292" s="723"/>
      <c r="K292" s="723"/>
      <c r="L292" s="723"/>
      <c r="M292" s="707">
        <v>124660</v>
      </c>
      <c r="N292" s="708">
        <v>164233</v>
      </c>
      <c r="O292" s="554"/>
      <c r="P292" s="554"/>
      <c r="Q292" s="554"/>
      <c r="R292" s="554"/>
      <c r="S292" s="554"/>
      <c r="T292" s="554"/>
      <c r="U292" s="679"/>
    </row>
    <row r="293" spans="1:21" ht="19.899999999999999">
      <c r="A293" s="722" t="s">
        <v>689</v>
      </c>
      <c r="B293" s="723"/>
      <c r="C293" s="723"/>
      <c r="D293" s="723"/>
      <c r="E293" s="723"/>
      <c r="F293" s="707">
        <v>300000</v>
      </c>
      <c r="G293" s="707">
        <v>300000</v>
      </c>
      <c r="H293" s="723"/>
      <c r="I293" s="727" t="s">
        <v>690</v>
      </c>
      <c r="J293" s="723"/>
      <c r="K293" s="723"/>
      <c r="L293" s="723"/>
      <c r="M293" s="709">
        <v>1579660</v>
      </c>
      <c r="N293" s="710">
        <v>2094233</v>
      </c>
      <c r="O293" s="464"/>
      <c r="P293" s="554"/>
      <c r="Q293" s="554"/>
      <c r="R293" s="554"/>
      <c r="S293" s="554"/>
      <c r="T293" s="554"/>
      <c r="U293" s="679"/>
    </row>
    <row r="294" spans="1:21" ht="18">
      <c r="A294" s="726" t="s">
        <v>691</v>
      </c>
      <c r="B294" s="723"/>
      <c r="C294" s="723"/>
      <c r="D294" s="723"/>
      <c r="E294" s="723"/>
      <c r="F294" s="709">
        <v>1638000</v>
      </c>
      <c r="G294" s="709">
        <v>2146000</v>
      </c>
      <c r="H294" s="723"/>
      <c r="I294" s="723"/>
      <c r="J294" s="723"/>
      <c r="K294" s="723"/>
      <c r="L294" s="723"/>
      <c r="M294" s="728"/>
      <c r="N294" s="729"/>
      <c r="O294" s="725"/>
      <c r="P294" s="554"/>
      <c r="Q294" s="554"/>
      <c r="R294" s="554"/>
      <c r="S294" s="554"/>
      <c r="T294" s="554"/>
      <c r="U294" s="679"/>
    </row>
    <row r="295" spans="1:21" ht="18">
      <c r="A295" s="722"/>
      <c r="B295" s="723"/>
      <c r="C295" s="723"/>
      <c r="D295" s="723"/>
      <c r="E295" s="723"/>
      <c r="F295" s="728"/>
      <c r="G295" s="728"/>
      <c r="H295" s="723"/>
      <c r="I295" s="723"/>
      <c r="J295" s="723"/>
      <c r="K295" s="723"/>
      <c r="L295" s="723"/>
      <c r="M295" s="728"/>
      <c r="N295" s="729"/>
      <c r="O295" s="554"/>
      <c r="P295" s="554"/>
      <c r="Q295" s="554"/>
      <c r="R295" s="554"/>
      <c r="S295" s="554"/>
      <c r="T295" s="554"/>
      <c r="U295" s="679"/>
    </row>
    <row r="296" spans="1:21" ht="18">
      <c r="A296" s="698" t="s">
        <v>692</v>
      </c>
      <c r="B296" s="699"/>
      <c r="C296" s="699"/>
      <c r="D296" s="699"/>
      <c r="E296" s="699"/>
      <c r="F296" s="712">
        <v>1766440</v>
      </c>
      <c r="G296" s="712">
        <v>2370530</v>
      </c>
      <c r="H296" s="700"/>
      <c r="I296" s="700" t="s">
        <v>693</v>
      </c>
      <c r="J296" s="700"/>
      <c r="K296" s="700"/>
      <c r="L296" s="700"/>
      <c r="M296" s="712">
        <v>1766440</v>
      </c>
      <c r="N296" s="713">
        <v>2370530</v>
      </c>
      <c r="O296" s="554"/>
      <c r="P296" s="554"/>
      <c r="Q296" s="554"/>
      <c r="R296" s="554"/>
      <c r="S296" s="554"/>
      <c r="T296" s="554"/>
      <c r="U296" s="679"/>
    </row>
    <row r="297" spans="1:21" ht="18">
      <c r="A297" s="554"/>
      <c r="B297" s="554"/>
      <c r="C297" s="554"/>
      <c r="D297" s="554"/>
      <c r="E297" s="554"/>
      <c r="F297" s="554"/>
      <c r="G297" s="554"/>
      <c r="H297" s="554"/>
      <c r="I297" s="554"/>
      <c r="J297" s="554"/>
      <c r="K297" s="554"/>
      <c r="L297" s="554"/>
      <c r="M297" s="554"/>
      <c r="N297" s="554"/>
      <c r="O297" s="554"/>
      <c r="P297" s="554"/>
      <c r="Q297" s="554"/>
      <c r="R297" s="554"/>
      <c r="S297" s="554"/>
      <c r="T297" s="554"/>
      <c r="U297" s="679"/>
    </row>
    <row r="298" spans="1:21" ht="18">
      <c r="A298" s="730" t="s">
        <v>694</v>
      </c>
      <c r="B298" s="682"/>
      <c r="C298" s="682"/>
      <c r="D298" s="682"/>
      <c r="E298" s="731"/>
      <c r="F298" s="725"/>
      <c r="G298" s="554"/>
      <c r="H298" s="730" t="s">
        <v>728</v>
      </c>
      <c r="I298" s="682"/>
      <c r="J298" s="682"/>
      <c r="K298" s="682"/>
      <c r="L298" s="682"/>
      <c r="M298" s="682"/>
      <c r="N298" s="731"/>
      <c r="O298" s="554"/>
      <c r="P298" s="554"/>
      <c r="Q298" s="554"/>
      <c r="R298" s="554"/>
      <c r="S298" s="554"/>
      <c r="T298" s="554"/>
      <c r="U298" s="679"/>
    </row>
    <row r="299" spans="1:21" ht="18">
      <c r="A299" s="722"/>
      <c r="B299" s="723"/>
      <c r="C299" s="723"/>
      <c r="D299" s="723"/>
      <c r="E299" s="724"/>
      <c r="F299" s="554"/>
      <c r="G299" s="554"/>
      <c r="H299" s="722"/>
      <c r="I299" s="723"/>
      <c r="J299" s="723"/>
      <c r="K299" s="723"/>
      <c r="L299" s="723"/>
      <c r="M299" s="723"/>
      <c r="N299" s="724"/>
      <c r="O299" s="554"/>
      <c r="P299" s="554"/>
      <c r="Q299" s="554"/>
      <c r="R299" s="554"/>
      <c r="S299" s="554"/>
      <c r="T299" s="554"/>
      <c r="U299" s="679"/>
    </row>
    <row r="300" spans="1:21" ht="19.899999999999999">
      <c r="A300" s="722" t="s">
        <v>695</v>
      </c>
      <c r="B300" s="723"/>
      <c r="C300" s="723"/>
      <c r="D300" s="723"/>
      <c r="E300" s="708">
        <v>1569500</v>
      </c>
      <c r="F300" s="554"/>
      <c r="G300" s="554"/>
      <c r="H300" s="722" t="s">
        <v>92</v>
      </c>
      <c r="I300" s="723"/>
      <c r="J300" s="723"/>
      <c r="K300" s="723"/>
      <c r="L300" s="723"/>
      <c r="M300" s="732">
        <v>130573</v>
      </c>
      <c r="N300" s="729"/>
      <c r="O300" s="554"/>
      <c r="P300" s="554"/>
      <c r="Q300" s="554"/>
      <c r="R300" s="554"/>
      <c r="S300" s="554"/>
      <c r="T300" s="554"/>
      <c r="U300" s="679"/>
    </row>
    <row r="301" spans="1:21" ht="18">
      <c r="A301" s="722" t="s">
        <v>127</v>
      </c>
      <c r="B301" s="723"/>
      <c r="C301" s="723"/>
      <c r="D301" s="723"/>
      <c r="E301" s="706">
        <v>470850</v>
      </c>
      <c r="F301" s="554"/>
      <c r="G301" s="554"/>
      <c r="H301" s="722" t="s">
        <v>729</v>
      </c>
      <c r="I301" s="723"/>
      <c r="J301" s="723"/>
      <c r="K301" s="723"/>
      <c r="L301" s="723"/>
      <c r="M301" s="732">
        <v>0</v>
      </c>
      <c r="N301" s="729"/>
      <c r="O301" s="554"/>
      <c r="P301" s="554"/>
      <c r="Q301" s="554"/>
      <c r="R301" s="554"/>
      <c r="S301" s="554"/>
      <c r="T301" s="554"/>
      <c r="U301" s="679"/>
    </row>
    <row r="302" spans="1:21" ht="18">
      <c r="A302" s="722" t="s">
        <v>174</v>
      </c>
      <c r="B302" s="723"/>
      <c r="C302" s="723"/>
      <c r="D302" s="723"/>
      <c r="E302" s="706">
        <v>504000</v>
      </c>
      <c r="F302" s="554"/>
      <c r="G302" s="554"/>
      <c r="H302" s="722"/>
      <c r="I302" s="723" t="s">
        <v>730</v>
      </c>
      <c r="J302" s="723"/>
      <c r="K302" s="723"/>
      <c r="L302" s="723"/>
      <c r="M302" s="732">
        <v>162000</v>
      </c>
      <c r="N302" s="729"/>
      <c r="O302" s="554"/>
      <c r="P302" s="554"/>
      <c r="Q302" s="554"/>
      <c r="R302" s="554"/>
      <c r="S302" s="554"/>
      <c r="T302" s="554"/>
      <c r="U302" s="679"/>
    </row>
    <row r="303" spans="1:21" ht="18">
      <c r="A303" s="722" t="s">
        <v>696</v>
      </c>
      <c r="B303" s="723"/>
      <c r="C303" s="723"/>
      <c r="D303" s="723"/>
      <c r="E303" s="706">
        <v>145000</v>
      </c>
      <c r="F303" s="554"/>
      <c r="G303" s="554"/>
      <c r="H303" s="722"/>
      <c r="I303" s="723" t="s">
        <v>731</v>
      </c>
      <c r="J303" s="723"/>
      <c r="K303" s="723"/>
      <c r="L303" s="723"/>
      <c r="M303" s="732">
        <v>0</v>
      </c>
      <c r="N303" s="729"/>
      <c r="O303" s="554"/>
      <c r="P303" s="554"/>
      <c r="Q303" s="554"/>
      <c r="R303" s="554"/>
      <c r="S303" s="554"/>
      <c r="T303" s="554"/>
      <c r="U303" s="679"/>
    </row>
    <row r="304" spans="1:21" ht="18">
      <c r="A304" s="722"/>
      <c r="B304" s="723"/>
      <c r="C304" s="723"/>
      <c r="D304" s="723"/>
      <c r="E304" s="706"/>
      <c r="F304" s="554"/>
      <c r="G304" s="554"/>
      <c r="H304" s="722"/>
      <c r="I304" s="723" t="s">
        <v>732</v>
      </c>
      <c r="J304" s="723"/>
      <c r="K304" s="723"/>
      <c r="L304" s="723"/>
      <c r="M304" s="732">
        <v>27000</v>
      </c>
      <c r="N304" s="729"/>
      <c r="O304" s="554"/>
      <c r="P304" s="554"/>
      <c r="Q304" s="554"/>
      <c r="R304" s="554"/>
      <c r="S304" s="554"/>
      <c r="T304" s="554"/>
      <c r="U304" s="679"/>
    </row>
    <row r="305" spans="1:21" ht="18">
      <c r="A305" s="722" t="s">
        <v>697</v>
      </c>
      <c r="B305" s="723"/>
      <c r="C305" s="723"/>
      <c r="D305" s="723"/>
      <c r="E305" s="706">
        <v>116000</v>
      </c>
      <c r="F305" s="554"/>
      <c r="G305" s="554"/>
      <c r="H305" s="722"/>
      <c r="I305" s="723" t="s">
        <v>733</v>
      </c>
      <c r="J305" s="723"/>
      <c r="K305" s="723"/>
      <c r="L305" s="723"/>
      <c r="M305" s="732">
        <v>-1100</v>
      </c>
      <c r="N305" s="729"/>
      <c r="O305" s="554"/>
      <c r="P305" s="554"/>
      <c r="Q305" s="554"/>
      <c r="R305" s="554"/>
      <c r="S305" s="554"/>
      <c r="T305" s="554"/>
      <c r="U305" s="679"/>
    </row>
    <row r="306" spans="1:21" ht="18">
      <c r="A306" s="722" t="s">
        <v>698</v>
      </c>
      <c r="B306" s="723"/>
      <c r="C306" s="723"/>
      <c r="D306" s="723"/>
      <c r="E306" s="706">
        <v>46000</v>
      </c>
      <c r="F306" s="554"/>
      <c r="G306" s="554"/>
      <c r="H306" s="722"/>
      <c r="I306" s="723" t="s">
        <v>734</v>
      </c>
      <c r="J306" s="723"/>
      <c r="K306" s="723"/>
      <c r="L306" s="723"/>
      <c r="M306" s="732">
        <v>-2580</v>
      </c>
      <c r="N306" s="729"/>
      <c r="O306" s="554"/>
      <c r="P306" s="554"/>
      <c r="Q306" s="554"/>
      <c r="R306" s="554"/>
      <c r="S306" s="554"/>
      <c r="T306" s="554"/>
      <c r="U306" s="679"/>
    </row>
    <row r="307" spans="1:21" ht="18">
      <c r="A307" s="722"/>
      <c r="B307" s="723"/>
      <c r="C307" s="723"/>
      <c r="D307" s="723"/>
      <c r="E307" s="706"/>
      <c r="F307" s="554"/>
      <c r="G307" s="554"/>
      <c r="H307" s="722"/>
      <c r="I307" s="723" t="s">
        <v>735</v>
      </c>
      <c r="J307" s="723"/>
      <c r="K307" s="723"/>
      <c r="L307" s="723"/>
      <c r="M307" s="732">
        <v>-5160</v>
      </c>
      <c r="N307" s="729"/>
      <c r="O307" s="554"/>
      <c r="P307" s="554"/>
      <c r="Q307" s="554"/>
      <c r="R307" s="554"/>
      <c r="S307" s="554"/>
      <c r="T307" s="554"/>
      <c r="U307" s="679"/>
    </row>
    <row r="308" spans="1:21" ht="18">
      <c r="A308" s="722" t="s">
        <v>86</v>
      </c>
      <c r="B308" s="723"/>
      <c r="C308" s="723"/>
      <c r="D308" s="723"/>
      <c r="E308" s="706">
        <v>16200</v>
      </c>
      <c r="F308" s="554"/>
      <c r="G308" s="554"/>
      <c r="H308" s="722"/>
      <c r="I308" s="723" t="s">
        <v>736</v>
      </c>
      <c r="J308" s="723"/>
      <c r="K308" s="723"/>
      <c r="L308" s="723"/>
      <c r="M308" s="732">
        <v>1800</v>
      </c>
      <c r="N308" s="729"/>
      <c r="O308" s="554"/>
      <c r="P308" s="554"/>
      <c r="Q308" s="554"/>
      <c r="R308" s="554"/>
      <c r="S308" s="554"/>
      <c r="T308" s="554"/>
      <c r="U308" s="679"/>
    </row>
    <row r="309" spans="1:21" ht="19.899999999999999">
      <c r="A309" s="722" t="s">
        <v>699</v>
      </c>
      <c r="B309" s="723"/>
      <c r="C309" s="723"/>
      <c r="D309" s="723"/>
      <c r="E309" s="706">
        <v>32500</v>
      </c>
      <c r="F309" s="554"/>
      <c r="G309" s="554"/>
      <c r="H309" s="722"/>
      <c r="I309" s="723" t="s">
        <v>737</v>
      </c>
      <c r="J309" s="723"/>
      <c r="K309" s="723"/>
      <c r="L309" s="723"/>
      <c r="M309" s="733">
        <v>1877</v>
      </c>
      <c r="N309" s="729"/>
      <c r="O309" s="554"/>
      <c r="P309" s="554"/>
      <c r="Q309" s="554"/>
      <c r="R309" s="554"/>
      <c r="S309" s="554"/>
      <c r="T309" s="554"/>
      <c r="U309" s="679"/>
    </row>
    <row r="310" spans="1:21" ht="19.899999999999999">
      <c r="A310" s="722" t="s">
        <v>90</v>
      </c>
      <c r="B310" s="723"/>
      <c r="C310" s="723"/>
      <c r="D310" s="723"/>
      <c r="E310" s="708">
        <v>62500</v>
      </c>
      <c r="F310" s="554"/>
      <c r="G310" s="554"/>
      <c r="H310" s="726" t="s">
        <v>738</v>
      </c>
      <c r="I310" s="727"/>
      <c r="J310" s="723"/>
      <c r="K310" s="723"/>
      <c r="L310" s="723"/>
      <c r="M310" s="732"/>
      <c r="N310" s="734">
        <v>314410</v>
      </c>
      <c r="O310" s="554"/>
      <c r="P310" s="554"/>
      <c r="Q310" s="554"/>
      <c r="R310" s="554"/>
      <c r="S310" s="554"/>
      <c r="T310" s="554"/>
      <c r="U310" s="679"/>
    </row>
    <row r="311" spans="1:21" ht="18">
      <c r="A311" s="722"/>
      <c r="B311" s="723"/>
      <c r="C311" s="723"/>
      <c r="D311" s="723"/>
      <c r="E311" s="706"/>
      <c r="F311" s="554"/>
      <c r="G311" s="554"/>
      <c r="H311" s="722"/>
      <c r="I311" s="723"/>
      <c r="J311" s="723"/>
      <c r="K311" s="723"/>
      <c r="L311" s="723"/>
      <c r="M311" s="732"/>
      <c r="N311" s="729"/>
      <c r="O311" s="554"/>
      <c r="P311" s="554"/>
      <c r="Q311" s="554"/>
      <c r="R311" s="554"/>
      <c r="S311" s="554"/>
      <c r="T311" s="554"/>
      <c r="U311" s="679"/>
    </row>
    <row r="312" spans="1:21" ht="18">
      <c r="A312" s="722" t="s">
        <v>700</v>
      </c>
      <c r="B312" s="723"/>
      <c r="C312" s="723"/>
      <c r="D312" s="723"/>
      <c r="E312" s="706">
        <v>176450</v>
      </c>
      <c r="F312" s="554"/>
      <c r="G312" s="554"/>
      <c r="H312" s="722"/>
      <c r="I312" s="723" t="s">
        <v>739</v>
      </c>
      <c r="J312" s="723"/>
      <c r="K312" s="723"/>
      <c r="L312" s="723"/>
      <c r="M312" s="732">
        <v>-98970</v>
      </c>
      <c r="N312" s="729"/>
      <c r="O312" s="554"/>
      <c r="P312" s="554"/>
      <c r="Q312" s="554"/>
      <c r="R312" s="554"/>
      <c r="S312" s="554"/>
      <c r="T312" s="554"/>
      <c r="U312" s="679"/>
    </row>
    <row r="313" spans="1:21" ht="19.899999999999999">
      <c r="A313" s="722" t="s">
        <v>285</v>
      </c>
      <c r="B313" s="723"/>
      <c r="C313" s="723"/>
      <c r="D313" s="723"/>
      <c r="E313" s="708">
        <v>45877</v>
      </c>
      <c r="F313" s="554"/>
      <c r="G313" s="554"/>
      <c r="H313" s="722"/>
      <c r="I313" s="723" t="s">
        <v>740</v>
      </c>
      <c r="J313" s="723"/>
      <c r="K313" s="723"/>
      <c r="L313" s="723"/>
      <c r="M313" s="733">
        <v>-670000</v>
      </c>
      <c r="N313" s="729"/>
      <c r="O313" s="554"/>
      <c r="P313" s="554"/>
      <c r="Q313" s="554"/>
      <c r="R313" s="554"/>
      <c r="S313" s="554"/>
      <c r="T313" s="554"/>
      <c r="U313" s="679"/>
    </row>
    <row r="314" spans="1:21" ht="18">
      <c r="A314" s="735" t="s">
        <v>92</v>
      </c>
      <c r="B314" s="736"/>
      <c r="C314" s="736"/>
      <c r="D314" s="736"/>
      <c r="E314" s="713">
        <v>130573</v>
      </c>
      <c r="F314" s="554"/>
      <c r="G314" s="554"/>
      <c r="H314" s="726" t="s">
        <v>741</v>
      </c>
      <c r="I314" s="727"/>
      <c r="J314" s="723"/>
      <c r="K314" s="723"/>
      <c r="L314" s="723"/>
      <c r="M314" s="732"/>
      <c r="N314" s="734">
        <v>-768970</v>
      </c>
      <c r="O314" s="554"/>
      <c r="P314" s="554"/>
      <c r="Q314" s="554"/>
      <c r="R314" s="554"/>
      <c r="S314" s="554"/>
      <c r="T314" s="554"/>
      <c r="U314" s="679"/>
    </row>
    <row r="315" spans="1:21" ht="18">
      <c r="A315" s="554"/>
      <c r="B315" s="554"/>
      <c r="C315" s="554"/>
      <c r="D315" s="554"/>
      <c r="E315" s="554"/>
      <c r="F315" s="554"/>
      <c r="G315" s="554"/>
      <c r="H315" s="722"/>
      <c r="I315" s="723"/>
      <c r="J315" s="723"/>
      <c r="K315" s="723"/>
      <c r="L315" s="723"/>
      <c r="M315" s="732"/>
      <c r="N315" s="729"/>
      <c r="O315" s="554"/>
      <c r="P315" s="554"/>
      <c r="Q315" s="554"/>
      <c r="R315" s="554"/>
      <c r="S315" s="554"/>
      <c r="T315" s="554"/>
      <c r="U315" s="679"/>
    </row>
    <row r="316" spans="1:21" ht="18">
      <c r="A316" s="165"/>
      <c r="B316" s="165"/>
      <c r="C316" s="165"/>
      <c r="D316" s="165"/>
      <c r="E316" s="165"/>
      <c r="F316" s="554"/>
      <c r="G316" s="554"/>
      <c r="H316" s="722"/>
      <c r="I316" s="723" t="s">
        <v>742</v>
      </c>
      <c r="J316" s="723"/>
      <c r="K316" s="723"/>
      <c r="L316" s="723"/>
      <c r="M316" s="732"/>
      <c r="N316" s="729"/>
      <c r="O316" s="554"/>
      <c r="P316" s="554"/>
      <c r="Q316" s="554"/>
      <c r="R316" s="554"/>
      <c r="S316" s="554"/>
      <c r="T316" s="554"/>
      <c r="U316" s="679"/>
    </row>
    <row r="317" spans="1:21" ht="18">
      <c r="A317" s="165"/>
      <c r="B317" s="165"/>
      <c r="C317" s="165"/>
      <c r="D317" s="165"/>
      <c r="E317" s="165"/>
      <c r="F317" s="165"/>
      <c r="G317" s="165"/>
      <c r="H317" s="722"/>
      <c r="I317" s="723" t="s">
        <v>743</v>
      </c>
      <c r="J317" s="723"/>
      <c r="K317" s="723"/>
      <c r="L317" s="723"/>
      <c r="M317" s="737"/>
      <c r="N317" s="729"/>
      <c r="O317" s="165"/>
      <c r="P317" s="554"/>
      <c r="Q317" s="554"/>
      <c r="R317" s="554"/>
      <c r="S317" s="554"/>
      <c r="T317" s="554"/>
      <c r="U317" s="679"/>
    </row>
    <row r="318" spans="1:21" ht="19.899999999999999">
      <c r="A318" s="165"/>
      <c r="B318" s="165"/>
      <c r="C318" s="165"/>
      <c r="D318" s="165"/>
      <c r="E318" s="165"/>
      <c r="F318" s="165"/>
      <c r="G318" s="165"/>
      <c r="H318" s="722"/>
      <c r="I318" s="723" t="s">
        <v>744</v>
      </c>
      <c r="J318" s="723"/>
      <c r="K318" s="723"/>
      <c r="L318" s="723"/>
      <c r="M318" s="738"/>
      <c r="N318" s="729"/>
      <c r="O318" s="165"/>
      <c r="P318" s="554"/>
      <c r="Q318" s="554"/>
      <c r="R318" s="554"/>
      <c r="S318" s="554"/>
      <c r="T318" s="554"/>
      <c r="U318" s="679"/>
    </row>
    <row r="319" spans="1:21" ht="19.899999999999999">
      <c r="A319" s="165"/>
      <c r="B319" s="165"/>
      <c r="C319" s="165"/>
      <c r="D319" s="165"/>
      <c r="E319" s="165"/>
      <c r="F319" s="165"/>
      <c r="G319" s="165"/>
      <c r="H319" s="726" t="s">
        <v>745</v>
      </c>
      <c r="I319" s="727"/>
      <c r="J319" s="723"/>
      <c r="K319" s="723"/>
      <c r="L319" s="723"/>
      <c r="M319" s="732"/>
      <c r="N319" s="739">
        <v>475000</v>
      </c>
      <c r="O319" s="165"/>
      <c r="P319" s="554"/>
      <c r="Q319" s="554"/>
      <c r="R319" s="554"/>
      <c r="S319" s="554"/>
      <c r="T319" s="554"/>
      <c r="U319" s="679"/>
    </row>
    <row r="320" spans="1:21" ht="18">
      <c r="A320" s="165"/>
      <c r="B320" s="165"/>
      <c r="C320" s="165"/>
      <c r="D320" s="165"/>
      <c r="E320" s="165"/>
      <c r="F320" s="165"/>
      <c r="G320" s="165"/>
      <c r="H320" s="740" t="s">
        <v>746</v>
      </c>
      <c r="I320" s="741"/>
      <c r="J320" s="741"/>
      <c r="K320" s="741"/>
      <c r="L320" s="741"/>
      <c r="M320" s="742"/>
      <c r="N320" s="743"/>
      <c r="O320" s="165"/>
      <c r="P320" s="554"/>
      <c r="Q320" s="554"/>
      <c r="R320" s="554"/>
      <c r="S320" s="554"/>
      <c r="T320" s="554"/>
      <c r="U320" s="679"/>
    </row>
    <row r="321" spans="1:21" ht="18">
      <c r="A321" s="554"/>
      <c r="B321" s="554"/>
      <c r="C321" s="554"/>
      <c r="D321" s="554"/>
      <c r="E321" s="554"/>
      <c r="F321" s="554"/>
      <c r="G321" s="554"/>
      <c r="H321" s="464"/>
      <c r="I321" s="464"/>
      <c r="J321" s="554"/>
      <c r="K321" s="554"/>
      <c r="L321" s="554"/>
      <c r="M321" s="744"/>
      <c r="N321" s="718"/>
      <c r="O321" s="554"/>
      <c r="P321" s="554"/>
      <c r="Q321" s="554"/>
      <c r="R321" s="554"/>
      <c r="S321" s="554"/>
      <c r="T321" s="554"/>
      <c r="U321" s="679"/>
    </row>
    <row r="322" spans="1:21" ht="21">
      <c r="A322" s="745" t="s">
        <v>747</v>
      </c>
      <c r="B322" s="554" t="s">
        <v>748</v>
      </c>
      <c r="C322" s="554"/>
      <c r="D322" s="554"/>
      <c r="E322" s="554"/>
      <c r="F322" s="554"/>
      <c r="G322" s="554"/>
      <c r="H322" s="554"/>
      <c r="I322" s="554"/>
      <c r="J322" s="554"/>
      <c r="K322" s="554"/>
      <c r="L322" s="554"/>
      <c r="M322" s="554"/>
      <c r="N322" s="554"/>
      <c r="O322" s="554"/>
      <c r="P322" s="554"/>
      <c r="Q322" s="554"/>
      <c r="R322" s="554"/>
      <c r="S322" s="554"/>
      <c r="T322" s="554"/>
      <c r="U322" s="679">
        <v>4</v>
      </c>
    </row>
    <row r="323" spans="1:21" ht="18">
      <c r="A323" s="464"/>
      <c r="B323" s="554"/>
      <c r="C323" s="554"/>
      <c r="D323" s="554"/>
      <c r="E323" s="554"/>
      <c r="F323" s="554"/>
      <c r="G323" s="554"/>
      <c r="H323" s="554"/>
      <c r="I323" s="554"/>
      <c r="J323" s="554"/>
      <c r="K323" s="554"/>
      <c r="L323" s="554"/>
      <c r="M323" s="554"/>
      <c r="N323" s="554"/>
      <c r="O323" s="554"/>
      <c r="P323" s="554"/>
      <c r="Q323" s="554"/>
      <c r="R323" s="554"/>
      <c r="S323" s="554"/>
      <c r="T323" s="554"/>
      <c r="U323" s="679"/>
    </row>
    <row r="324" spans="1:21" ht="21">
      <c r="A324" s="745" t="s">
        <v>749</v>
      </c>
      <c r="B324" s="554" t="s">
        <v>750</v>
      </c>
      <c r="C324" s="554"/>
      <c r="D324" s="554"/>
      <c r="E324" s="554"/>
      <c r="F324" s="554"/>
      <c r="G324" s="554"/>
      <c r="H324" s="554"/>
      <c r="I324" s="554"/>
      <c r="J324" s="554"/>
      <c r="K324" s="554"/>
      <c r="L324" s="554"/>
      <c r="M324" s="554"/>
      <c r="N324" s="554"/>
      <c r="O324" s="554"/>
      <c r="P324" s="554"/>
      <c r="Q324" s="554"/>
      <c r="R324" s="554"/>
      <c r="S324" s="554"/>
      <c r="T324" s="554"/>
      <c r="U324" s="679">
        <v>4</v>
      </c>
    </row>
    <row r="325" spans="1:21" ht="21">
      <c r="A325" s="745"/>
      <c r="B325" s="554" t="s">
        <v>751</v>
      </c>
      <c r="C325" s="554"/>
      <c r="D325" s="554"/>
      <c r="E325" s="554"/>
      <c r="F325" s="554"/>
      <c r="G325" s="554"/>
      <c r="H325" s="554"/>
      <c r="I325" s="554"/>
      <c r="J325" s="554"/>
      <c r="K325" s="554"/>
      <c r="L325" s="554"/>
      <c r="M325" s="554"/>
      <c r="N325" s="554"/>
      <c r="O325" s="554"/>
      <c r="P325" s="554"/>
      <c r="Q325" s="554"/>
      <c r="R325" s="554"/>
      <c r="S325" s="554"/>
      <c r="T325" s="554"/>
      <c r="U325" s="679"/>
    </row>
    <row r="326" spans="1:21" ht="18">
      <c r="A326" s="464"/>
      <c r="B326" s="554" t="s">
        <v>752</v>
      </c>
      <c r="C326" s="554"/>
      <c r="D326" s="554"/>
      <c r="E326" s="554"/>
      <c r="F326" s="554"/>
      <c r="G326" s="554"/>
      <c r="H326" s="554"/>
      <c r="I326" s="554"/>
      <c r="J326" s="554"/>
      <c r="K326" s="554"/>
      <c r="L326" s="554"/>
      <c r="M326" s="554"/>
      <c r="N326" s="554"/>
      <c r="O326" s="554"/>
      <c r="P326" s="554"/>
      <c r="Q326" s="554"/>
      <c r="R326" s="554"/>
      <c r="S326" s="554"/>
      <c r="T326" s="554"/>
      <c r="U326" s="679"/>
    </row>
    <row r="327" spans="1:21" ht="18">
      <c r="A327" s="464"/>
      <c r="B327" s="554"/>
      <c r="C327" s="554"/>
      <c r="D327" s="554"/>
      <c r="E327" s="554"/>
      <c r="F327" s="554"/>
      <c r="G327" s="554"/>
      <c r="H327" s="554"/>
      <c r="I327" s="554"/>
      <c r="J327" s="554"/>
      <c r="K327" s="554"/>
      <c r="L327" s="554"/>
      <c r="M327" s="554"/>
      <c r="N327" s="554"/>
      <c r="O327" s="554"/>
      <c r="P327" s="554"/>
      <c r="Q327" s="554"/>
      <c r="R327" s="554"/>
      <c r="S327" s="554"/>
      <c r="T327" s="554"/>
      <c r="U327" s="679"/>
    </row>
    <row r="328" spans="1:21" ht="21">
      <c r="A328" s="745" t="s">
        <v>753</v>
      </c>
      <c r="B328" s="554" t="s">
        <v>754</v>
      </c>
      <c r="C328" s="554"/>
      <c r="D328" s="554"/>
      <c r="E328" s="554"/>
      <c r="F328" s="554"/>
      <c r="G328" s="554"/>
      <c r="H328" s="554"/>
      <c r="I328" s="554"/>
      <c r="J328" s="554"/>
      <c r="K328" s="554"/>
      <c r="L328" s="554"/>
      <c r="M328" s="554"/>
      <c r="N328" s="554"/>
      <c r="O328" s="554"/>
      <c r="P328" s="554"/>
      <c r="Q328" s="554"/>
      <c r="R328" s="554"/>
      <c r="S328" s="554"/>
      <c r="T328" s="554"/>
      <c r="U328" s="679">
        <v>4</v>
      </c>
    </row>
    <row r="330" spans="1:21" s="2" customFormat="1">
      <c r="A330" s="164">
        <v>13</v>
      </c>
    </row>
    <row r="331" spans="1:21" ht="14.65" thickBot="1"/>
    <row r="332" spans="1:21" ht="18.399999999999999" thickBot="1">
      <c r="A332" s="681" t="s">
        <v>755</v>
      </c>
      <c r="B332" s="688"/>
      <c r="C332" s="688"/>
      <c r="D332" s="688"/>
      <c r="E332" s="688"/>
      <c r="F332" s="688"/>
      <c r="G332" s="688"/>
      <c r="H332" s="688"/>
      <c r="I332" s="688"/>
      <c r="J332" s="688"/>
      <c r="K332" s="688"/>
      <c r="L332" s="688"/>
      <c r="M332" s="688"/>
      <c r="N332" s="688"/>
      <c r="O332" s="688"/>
      <c r="P332" s="688"/>
      <c r="Q332" s="688"/>
      <c r="R332" s="688"/>
      <c r="S332" s="688"/>
      <c r="T332" s="688"/>
      <c r="U332" s="679"/>
    </row>
    <row r="333" spans="1:21" ht="18">
      <c r="A333" s="554"/>
      <c r="B333" s="554"/>
      <c r="C333" s="554"/>
      <c r="D333" s="554"/>
      <c r="E333" s="554"/>
      <c r="F333" s="554"/>
      <c r="G333" s="554"/>
      <c r="H333" s="554"/>
      <c r="I333" s="554"/>
      <c r="J333" s="554"/>
      <c r="K333" s="554"/>
      <c r="L333" s="554"/>
      <c r="M333" s="554"/>
      <c r="N333" s="554"/>
      <c r="O333" s="554"/>
      <c r="P333" s="554"/>
      <c r="Q333" s="554"/>
      <c r="R333" s="554"/>
      <c r="S333" s="554"/>
      <c r="T333" s="554"/>
      <c r="U333" s="679"/>
    </row>
    <row r="334" spans="1:21" ht="18">
      <c r="A334" s="554" t="s">
        <v>756</v>
      </c>
      <c r="B334" s="554"/>
      <c r="C334" s="554"/>
      <c r="D334" s="554"/>
      <c r="E334" s="554"/>
      <c r="F334" s="554"/>
      <c r="G334" s="554"/>
      <c r="H334" s="554"/>
      <c r="I334" s="554"/>
      <c r="J334" s="554"/>
      <c r="K334" s="554"/>
      <c r="L334" s="554"/>
      <c r="M334" s="554"/>
      <c r="N334" s="554"/>
      <c r="O334" s="554"/>
      <c r="P334" s="554"/>
      <c r="Q334" s="554"/>
      <c r="R334" s="554"/>
      <c r="S334" s="554"/>
      <c r="T334" s="554"/>
      <c r="U334" s="679"/>
    </row>
    <row r="335" spans="1:21" ht="18">
      <c r="A335" s="554" t="s">
        <v>757</v>
      </c>
      <c r="B335" s="554"/>
      <c r="C335" s="554"/>
      <c r="D335" s="554"/>
      <c r="E335" s="554"/>
      <c r="F335" s="554"/>
      <c r="G335" s="554"/>
      <c r="H335" s="554"/>
      <c r="I335" s="554"/>
      <c r="J335" s="554"/>
      <c r="K335" s="554"/>
      <c r="L335" s="554"/>
      <c r="M335" s="554"/>
      <c r="N335" s="554"/>
      <c r="O335" s="554"/>
      <c r="P335" s="554"/>
      <c r="Q335" s="554"/>
      <c r="R335" s="554"/>
      <c r="S335" s="554"/>
      <c r="T335" s="554"/>
      <c r="U335" s="679"/>
    </row>
    <row r="336" spans="1:21" ht="18">
      <c r="A336" s="554"/>
      <c r="B336" s="554"/>
      <c r="C336" s="554"/>
      <c r="D336" s="554"/>
      <c r="E336" s="554"/>
      <c r="F336" s="554"/>
      <c r="G336" s="554"/>
      <c r="H336" s="554"/>
      <c r="I336" s="554"/>
      <c r="J336" s="554"/>
      <c r="K336" s="554"/>
      <c r="L336" s="554"/>
      <c r="M336" s="554"/>
      <c r="N336" s="554"/>
      <c r="O336" s="554"/>
      <c r="P336" s="554"/>
      <c r="Q336" s="554"/>
      <c r="R336" s="554"/>
      <c r="S336" s="554"/>
      <c r="T336" s="554"/>
      <c r="U336" s="679"/>
    </row>
    <row r="337" spans="1:21" ht="18">
      <c r="A337" s="554" t="s">
        <v>758</v>
      </c>
      <c r="B337" s="554"/>
      <c r="C337" s="554"/>
      <c r="D337" s="554"/>
      <c r="E337" s="554"/>
      <c r="F337" s="554"/>
      <c r="G337" s="554"/>
      <c r="H337" s="554"/>
      <c r="I337" s="554"/>
      <c r="J337" s="554"/>
      <c r="K337" s="554"/>
      <c r="L337" s="554"/>
      <c r="M337" s="554"/>
      <c r="N337" s="554"/>
      <c r="O337" s="554"/>
      <c r="P337" s="554"/>
      <c r="Q337" s="554"/>
      <c r="R337" s="554"/>
      <c r="S337" s="554"/>
      <c r="T337" s="554"/>
      <c r="U337" s="679"/>
    </row>
    <row r="338" spans="1:21" ht="18">
      <c r="A338" s="554" t="s">
        <v>759</v>
      </c>
      <c r="B338" s="554"/>
      <c r="C338" s="554"/>
      <c r="D338" s="554"/>
      <c r="E338" s="554"/>
      <c r="F338" s="554"/>
      <c r="G338" s="554"/>
      <c r="H338" s="554"/>
      <c r="I338" s="554"/>
      <c r="J338" s="554"/>
      <c r="K338" s="554"/>
      <c r="L338" s="554"/>
      <c r="M338" s="554"/>
      <c r="N338" s="554"/>
      <c r="O338" s="554"/>
      <c r="P338" s="554"/>
      <c r="Q338" s="554"/>
      <c r="R338" s="554"/>
      <c r="S338" s="554"/>
      <c r="T338" s="554"/>
      <c r="U338" s="679"/>
    </row>
    <row r="339" spans="1:21" ht="18">
      <c r="A339" s="554"/>
      <c r="B339" s="554"/>
      <c r="C339" s="554"/>
      <c r="D339" s="554"/>
      <c r="E339" s="554"/>
      <c r="F339" s="554"/>
      <c r="G339" s="554"/>
      <c r="H339" s="554"/>
      <c r="I339" s="554"/>
      <c r="J339" s="554"/>
      <c r="K339" s="554"/>
      <c r="L339" s="554"/>
      <c r="M339" s="554"/>
      <c r="N339" s="554"/>
      <c r="O339" s="554"/>
      <c r="P339" s="554"/>
      <c r="Q339" s="554"/>
      <c r="R339" s="554"/>
      <c r="S339" s="554"/>
      <c r="T339" s="554"/>
      <c r="U339" s="679"/>
    </row>
    <row r="340" spans="1:21" ht="18">
      <c r="A340" s="554" t="s">
        <v>760</v>
      </c>
      <c r="B340" s="554"/>
      <c r="C340" s="554"/>
      <c r="D340" s="554"/>
      <c r="E340" s="554"/>
      <c r="F340" s="554"/>
      <c r="G340" s="554"/>
      <c r="H340" s="554"/>
      <c r="I340" s="554"/>
      <c r="J340" s="554"/>
      <c r="K340" s="554"/>
      <c r="L340" s="554"/>
      <c r="M340" s="554"/>
      <c r="N340" s="554"/>
      <c r="O340" s="554"/>
      <c r="P340" s="554"/>
      <c r="Q340" s="554"/>
      <c r="R340" s="554"/>
      <c r="S340" s="554"/>
      <c r="T340" s="554"/>
      <c r="U340" s="679"/>
    </row>
    <row r="341" spans="1:21" ht="18">
      <c r="A341" s="554"/>
      <c r="B341" s="554"/>
      <c r="C341" s="554"/>
      <c r="D341" s="746"/>
      <c r="E341" s="746"/>
      <c r="F341" s="746"/>
      <c r="G341" s="746"/>
      <c r="H341" s="746"/>
      <c r="I341" s="746"/>
      <c r="J341" s="554"/>
      <c r="K341" s="554"/>
      <c r="L341" s="554"/>
      <c r="M341" s="554"/>
      <c r="N341" s="554"/>
      <c r="O341" s="554"/>
      <c r="P341" s="554"/>
      <c r="Q341" s="554"/>
      <c r="R341" s="554"/>
      <c r="S341" s="554"/>
      <c r="T341" s="554"/>
      <c r="U341" s="679"/>
    </row>
    <row r="342" spans="1:21" ht="18">
      <c r="A342" s="554" t="s">
        <v>761</v>
      </c>
      <c r="B342" s="554"/>
      <c r="C342" s="554"/>
      <c r="D342" s="747" t="s">
        <v>665</v>
      </c>
      <c r="E342" s="747" t="s">
        <v>666</v>
      </c>
      <c r="F342" s="747" t="s">
        <v>667</v>
      </c>
      <c r="G342" s="747" t="s">
        <v>275</v>
      </c>
      <c r="H342" s="747" t="s">
        <v>277</v>
      </c>
      <c r="I342" s="747" t="s">
        <v>762</v>
      </c>
      <c r="J342" s="554"/>
      <c r="K342" s="554"/>
      <c r="L342" s="554"/>
      <c r="M342" s="554"/>
      <c r="N342" s="554"/>
      <c r="O342" s="554"/>
      <c r="P342" s="554"/>
      <c r="Q342" s="554"/>
      <c r="R342" s="554"/>
      <c r="S342" s="554"/>
      <c r="T342" s="554"/>
      <c r="U342" s="679"/>
    </row>
    <row r="343" spans="1:21" ht="18">
      <c r="A343" s="554" t="s">
        <v>763</v>
      </c>
      <c r="B343" s="554"/>
      <c r="C343" s="554"/>
      <c r="D343" s="748">
        <v>31</v>
      </c>
      <c r="E343" s="748">
        <v>30</v>
      </c>
      <c r="F343" s="748">
        <v>31</v>
      </c>
      <c r="G343" s="748">
        <v>30</v>
      </c>
      <c r="H343" s="748">
        <v>31</v>
      </c>
      <c r="I343" s="748">
        <v>31</v>
      </c>
      <c r="J343" s="554"/>
      <c r="K343" s="554"/>
      <c r="L343" s="554"/>
      <c r="M343" s="554"/>
      <c r="N343" s="554"/>
      <c r="O343" s="554"/>
      <c r="P343" s="554"/>
      <c r="Q343" s="554"/>
      <c r="R343" s="554"/>
      <c r="S343" s="554"/>
      <c r="T343" s="554"/>
      <c r="U343" s="679"/>
    </row>
    <row r="344" spans="1:21" ht="18">
      <c r="A344" s="554" t="s">
        <v>764</v>
      </c>
      <c r="B344" s="554"/>
      <c r="C344" s="554"/>
      <c r="D344" s="717">
        <v>18600</v>
      </c>
      <c r="E344" s="717">
        <v>24000</v>
      </c>
      <c r="F344" s="717">
        <v>34100</v>
      </c>
      <c r="G344" s="717">
        <v>37500</v>
      </c>
      <c r="H344" s="717">
        <v>41850</v>
      </c>
      <c r="I344" s="717">
        <v>43400</v>
      </c>
      <c r="J344" s="554"/>
      <c r="K344" s="554"/>
      <c r="L344" s="554"/>
      <c r="M344" s="554"/>
      <c r="N344" s="554"/>
      <c r="O344" s="554"/>
      <c r="P344" s="554"/>
      <c r="Q344" s="554"/>
      <c r="R344" s="554"/>
      <c r="S344" s="554"/>
      <c r="T344" s="554"/>
      <c r="U344" s="679"/>
    </row>
    <row r="345" spans="1:21" ht="18">
      <c r="A345" s="554"/>
      <c r="B345" s="554"/>
      <c r="C345" s="554"/>
      <c r="D345" s="554"/>
      <c r="E345" s="554"/>
      <c r="F345" s="554"/>
      <c r="G345" s="554"/>
      <c r="H345" s="554"/>
      <c r="I345" s="554"/>
      <c r="J345" s="554"/>
      <c r="K345" s="554"/>
      <c r="L345" s="554"/>
      <c r="M345" s="554"/>
      <c r="N345" s="554"/>
      <c r="O345" s="554"/>
      <c r="P345" s="554"/>
      <c r="Q345" s="554"/>
      <c r="R345" s="554"/>
      <c r="S345" s="554"/>
      <c r="T345" s="554"/>
      <c r="U345" s="679"/>
    </row>
    <row r="346" spans="1:21" ht="21">
      <c r="A346" s="745" t="s">
        <v>765</v>
      </c>
      <c r="B346" s="554" t="s">
        <v>766</v>
      </c>
      <c r="C346" s="554"/>
      <c r="D346" s="554"/>
      <c r="E346" s="554"/>
      <c r="F346" s="554"/>
      <c r="G346" s="554"/>
      <c r="H346" s="554"/>
      <c r="I346" s="554"/>
      <c r="J346" s="554"/>
      <c r="K346" s="554"/>
      <c r="L346" s="554"/>
      <c r="M346" s="554"/>
      <c r="N346" s="554"/>
      <c r="O346" s="554"/>
      <c r="P346" s="554"/>
      <c r="Q346" s="554"/>
      <c r="R346" s="554"/>
      <c r="S346" s="554"/>
      <c r="T346" s="554"/>
      <c r="U346" s="679">
        <v>8</v>
      </c>
    </row>
    <row r="348" spans="1:21" s="2" customFormat="1">
      <c r="A348" s="164">
        <v>14</v>
      </c>
    </row>
    <row r="350" spans="1:21" ht="21">
      <c r="A350" s="976" t="s">
        <v>809</v>
      </c>
      <c r="B350" s="977"/>
      <c r="C350" s="977"/>
      <c r="D350" s="977"/>
      <c r="E350" s="977"/>
      <c r="F350" s="977"/>
      <c r="G350" s="977"/>
      <c r="H350" s="977"/>
      <c r="I350" s="977"/>
      <c r="J350" s="977"/>
      <c r="K350" s="1042"/>
    </row>
    <row r="351" spans="1:21" ht="21">
      <c r="A351" s="1112"/>
      <c r="B351" s="1113"/>
      <c r="C351" s="1113"/>
      <c r="D351" s="1113"/>
      <c r="E351" s="1113"/>
      <c r="F351" s="1113"/>
      <c r="G351" s="1113"/>
      <c r="H351" s="1113"/>
      <c r="I351" s="1113"/>
      <c r="J351" s="1113"/>
      <c r="K351" s="1113"/>
    </row>
    <row r="352" spans="1:21" ht="21">
      <c r="A352" s="533" t="s">
        <v>616</v>
      </c>
      <c r="B352" s="533"/>
      <c r="C352" s="533"/>
      <c r="D352" s="533"/>
      <c r="E352" s="533"/>
      <c r="F352" s="533"/>
      <c r="G352" s="534"/>
      <c r="H352" s="534"/>
      <c r="I352" s="534"/>
      <c r="J352" s="534"/>
      <c r="K352" s="534"/>
    </row>
    <row r="353" spans="1:11" ht="21">
      <c r="A353" s="535" t="s">
        <v>617</v>
      </c>
      <c r="B353" s="536">
        <v>2021</v>
      </c>
      <c r="C353" s="536">
        <v>2022</v>
      </c>
      <c r="D353" s="535"/>
      <c r="E353" s="536"/>
      <c r="F353" s="536"/>
      <c r="G353" s="537"/>
      <c r="H353" s="537"/>
      <c r="I353" s="537"/>
      <c r="J353" s="537"/>
      <c r="K353" s="537"/>
    </row>
    <row r="354" spans="1:11" ht="31.5">
      <c r="A354" s="538" t="s">
        <v>618</v>
      </c>
      <c r="B354" s="539">
        <v>3000</v>
      </c>
      <c r="C354" s="539">
        <v>2400</v>
      </c>
      <c r="D354" s="539"/>
      <c r="E354" s="539"/>
      <c r="F354" s="539"/>
      <c r="G354" s="537"/>
      <c r="H354" s="537"/>
      <c r="I354" s="537"/>
      <c r="J354" s="537"/>
      <c r="K354" s="537"/>
    </row>
    <row r="355" spans="1:11" ht="21">
      <c r="A355" s="535" t="s">
        <v>251</v>
      </c>
      <c r="B355" s="535">
        <v>485</v>
      </c>
      <c r="C355" s="535">
        <v>400</v>
      </c>
      <c r="D355" s="535"/>
      <c r="E355" s="535"/>
      <c r="F355" s="535"/>
      <c r="G355" s="537"/>
      <c r="H355" s="537"/>
      <c r="I355" s="537"/>
      <c r="J355" s="537"/>
      <c r="K355" s="537"/>
    </row>
    <row r="356" spans="1:11" ht="21">
      <c r="A356" s="535" t="s">
        <v>619</v>
      </c>
      <c r="B356" s="540">
        <v>-100</v>
      </c>
      <c r="C356" s="541">
        <v>0</v>
      </c>
      <c r="D356" s="535"/>
      <c r="E356" s="540"/>
      <c r="F356" s="540"/>
      <c r="G356" s="537"/>
      <c r="H356" s="537"/>
      <c r="I356" s="537"/>
      <c r="J356" s="537"/>
      <c r="K356" s="537"/>
    </row>
    <row r="357" spans="1:11" ht="21">
      <c r="A357" s="535" t="s">
        <v>620</v>
      </c>
      <c r="B357" s="541">
        <v>140</v>
      </c>
      <c r="C357" s="541">
        <v>0</v>
      </c>
      <c r="D357" s="535"/>
      <c r="E357" s="540"/>
      <c r="F357" s="540"/>
      <c r="G357" s="537"/>
      <c r="H357" s="537"/>
      <c r="I357" s="537"/>
      <c r="J357" s="537"/>
      <c r="K357" s="537"/>
    </row>
    <row r="358" spans="1:11" ht="21">
      <c r="A358" s="535" t="s">
        <v>621</v>
      </c>
      <c r="B358" s="535">
        <v>0</v>
      </c>
      <c r="C358" s="535">
        <v>0</v>
      </c>
      <c r="D358" s="535"/>
      <c r="E358" s="535"/>
      <c r="F358" s="535"/>
      <c r="G358" s="537"/>
      <c r="H358" s="537"/>
      <c r="I358" s="537"/>
      <c r="J358" s="537"/>
      <c r="K358" s="537"/>
    </row>
    <row r="359" spans="1:11" ht="21">
      <c r="A359" s="535" t="s">
        <v>255</v>
      </c>
      <c r="B359" s="535">
        <v>0</v>
      </c>
      <c r="C359" s="541">
        <v>0</v>
      </c>
      <c r="D359" s="535"/>
      <c r="E359" s="535"/>
      <c r="F359" s="540"/>
      <c r="G359" s="537"/>
      <c r="H359" s="537"/>
      <c r="I359" s="537"/>
      <c r="J359" s="537"/>
      <c r="K359" s="537"/>
    </row>
    <row r="360" spans="1:11" ht="21">
      <c r="A360" s="542" t="s">
        <v>299</v>
      </c>
      <c r="B360" s="543">
        <v>3525</v>
      </c>
      <c r="C360" s="543">
        <v>2800</v>
      </c>
      <c r="D360" s="539"/>
      <c r="E360" s="543"/>
      <c r="F360" s="543"/>
      <c r="G360" s="537"/>
      <c r="H360" s="537"/>
      <c r="I360" s="537"/>
      <c r="J360" s="537"/>
      <c r="K360" s="537"/>
    </row>
    <row r="361" spans="1:11" ht="21">
      <c r="A361" s="535"/>
      <c r="B361" s="535"/>
      <c r="C361" s="535"/>
      <c r="D361" s="535"/>
      <c r="E361" s="535"/>
      <c r="F361" s="535"/>
      <c r="G361" s="537"/>
      <c r="H361" s="537"/>
      <c r="I361" s="537"/>
      <c r="J361" s="537"/>
      <c r="K361" s="537"/>
    </row>
    <row r="362" spans="1:11" ht="21">
      <c r="A362" s="535" t="s">
        <v>257</v>
      </c>
      <c r="B362" s="535">
        <v>1000</v>
      </c>
      <c r="C362" s="535">
        <v>1000</v>
      </c>
      <c r="D362" s="535"/>
      <c r="E362" s="535"/>
      <c r="F362" s="535"/>
      <c r="G362" s="537"/>
      <c r="H362" s="537"/>
      <c r="I362" s="537"/>
      <c r="J362" s="537"/>
      <c r="K362" s="537"/>
    </row>
    <row r="363" spans="1:11" ht="21">
      <c r="A363" s="535" t="s">
        <v>258</v>
      </c>
      <c r="B363" s="535">
        <v>200</v>
      </c>
      <c r="C363" s="535">
        <v>200</v>
      </c>
      <c r="D363" s="535"/>
      <c r="E363" s="535"/>
      <c r="F363" s="535"/>
      <c r="G363" s="537"/>
      <c r="H363" s="537"/>
      <c r="I363" s="537"/>
      <c r="J363" s="537"/>
      <c r="K363" s="537"/>
    </row>
    <row r="364" spans="1:11" ht="21">
      <c r="A364" s="535" t="s">
        <v>259</v>
      </c>
      <c r="B364" s="778">
        <v>100</v>
      </c>
      <c r="C364" s="778">
        <v>100</v>
      </c>
      <c r="D364" s="535"/>
      <c r="E364" s="544"/>
      <c r="F364" s="544"/>
      <c r="G364" s="537"/>
      <c r="H364" s="537"/>
      <c r="I364" s="537"/>
      <c r="J364" s="537"/>
      <c r="K364" s="537"/>
    </row>
    <row r="365" spans="1:11" ht="21">
      <c r="A365" s="542" t="s">
        <v>300</v>
      </c>
      <c r="B365" s="779">
        <v>1300</v>
      </c>
      <c r="C365" s="779">
        <v>1300</v>
      </c>
      <c r="D365" s="539"/>
      <c r="E365" s="542"/>
      <c r="F365" s="542"/>
      <c r="G365" s="537"/>
      <c r="H365" s="537"/>
      <c r="I365" s="537"/>
      <c r="J365" s="537"/>
      <c r="K365" s="537"/>
    </row>
    <row r="366" spans="1:11" ht="21">
      <c r="A366" s="535" t="s">
        <v>261</v>
      </c>
      <c r="B366" s="535">
        <v>0</v>
      </c>
      <c r="C366" s="535">
        <v>0</v>
      </c>
      <c r="D366" s="535"/>
      <c r="E366" s="535"/>
      <c r="F366" s="535"/>
      <c r="G366" s="537"/>
      <c r="H366" s="537"/>
      <c r="I366" s="537"/>
      <c r="J366" s="537"/>
      <c r="K366" s="537"/>
    </row>
    <row r="367" spans="1:11" ht="21">
      <c r="A367" s="535" t="s">
        <v>262</v>
      </c>
      <c r="B367" s="540">
        <v>-4100</v>
      </c>
      <c r="C367" s="540">
        <v>-4300</v>
      </c>
      <c r="D367" s="535"/>
      <c r="E367" s="540"/>
      <c r="F367" s="540"/>
      <c r="G367" s="537"/>
      <c r="H367" s="537"/>
      <c r="I367" s="537"/>
      <c r="J367" s="537"/>
      <c r="K367" s="537"/>
    </row>
    <row r="368" spans="1:11" ht="21">
      <c r="A368" s="535" t="s">
        <v>263</v>
      </c>
      <c r="B368" s="541">
        <v>0</v>
      </c>
      <c r="C368" s="541">
        <v>0</v>
      </c>
      <c r="D368" s="535"/>
      <c r="E368" s="540"/>
      <c r="F368" s="540"/>
      <c r="G368" s="537"/>
      <c r="H368" s="537"/>
      <c r="I368" s="537"/>
      <c r="J368" s="537"/>
      <c r="K368" s="537"/>
    </row>
    <row r="369" spans="1:11" ht="21">
      <c r="A369" s="542" t="s">
        <v>301</v>
      </c>
      <c r="B369" s="542">
        <v>-1500</v>
      </c>
      <c r="C369" s="542">
        <v>-1500</v>
      </c>
      <c r="D369" s="539"/>
      <c r="E369" s="542"/>
      <c r="F369" s="542"/>
      <c r="G369" s="537"/>
      <c r="H369" s="537"/>
      <c r="I369" s="537"/>
      <c r="J369" s="537"/>
      <c r="K369" s="537"/>
    </row>
    <row r="370" spans="1:11" ht="21">
      <c r="A370" s="535"/>
      <c r="B370" s="535"/>
      <c r="C370" s="535"/>
      <c r="D370" s="535"/>
      <c r="E370" s="535"/>
      <c r="F370" s="535"/>
      <c r="G370" s="537"/>
      <c r="H370" s="537"/>
      <c r="I370" s="537"/>
      <c r="J370" s="537"/>
      <c r="K370" s="537"/>
    </row>
    <row r="371" spans="1:11" ht="21">
      <c r="A371" s="536" t="s">
        <v>265</v>
      </c>
      <c r="B371" s="536">
        <v>725</v>
      </c>
      <c r="C371" s="536">
        <v>-200</v>
      </c>
      <c r="D371" s="535"/>
      <c r="E371" s="536"/>
      <c r="F371" s="536"/>
      <c r="G371" s="537"/>
      <c r="H371" s="537"/>
      <c r="I371" s="537"/>
      <c r="J371" s="537"/>
      <c r="K371" s="537"/>
    </row>
    <row r="372" spans="1:11" ht="21">
      <c r="A372" s="535" t="s">
        <v>266</v>
      </c>
      <c r="B372" s="535">
        <v>100</v>
      </c>
      <c r="C372" s="535">
        <v>825</v>
      </c>
      <c r="D372" s="535"/>
      <c r="E372" s="535"/>
      <c r="F372" s="535"/>
      <c r="G372" s="537"/>
      <c r="H372" s="537"/>
      <c r="I372" s="537"/>
      <c r="J372" s="537"/>
      <c r="K372" s="537"/>
    </row>
    <row r="373" spans="1:11" ht="21">
      <c r="A373" s="535" t="s">
        <v>267</v>
      </c>
      <c r="B373" s="535">
        <v>825</v>
      </c>
      <c r="C373" s="535">
        <v>625</v>
      </c>
      <c r="D373" s="535"/>
      <c r="E373" s="535"/>
      <c r="F373" s="535"/>
      <c r="G373" s="537"/>
      <c r="H373" s="537"/>
      <c r="I373" s="537"/>
      <c r="J373" s="537"/>
      <c r="K373" s="537"/>
    </row>
    <row r="375" spans="1:11" ht="15.75">
      <c r="A375" s="1114" t="s">
        <v>810</v>
      </c>
      <c r="B375" s="1115"/>
      <c r="C375" s="1115"/>
      <c r="D375" s="1115"/>
      <c r="E375" s="1115"/>
      <c r="F375" s="1115"/>
      <c r="G375" s="1115"/>
      <c r="H375" s="1115"/>
      <c r="I375" s="1115"/>
      <c r="J375" s="1115"/>
      <c r="K375" s="1116"/>
    </row>
    <row r="376" spans="1:11" ht="15.75" customHeight="1">
      <c r="A376" s="1117" t="s">
        <v>811</v>
      </c>
      <c r="B376" s="1117"/>
      <c r="C376" s="1117"/>
      <c r="D376" s="1117"/>
      <c r="E376" s="1117"/>
      <c r="F376" s="1117"/>
      <c r="G376" s="1117"/>
      <c r="H376" s="1117"/>
      <c r="I376" s="1117"/>
      <c r="J376" s="1117"/>
      <c r="K376" s="1117"/>
    </row>
    <row r="377" spans="1:11" ht="14.25" customHeight="1">
      <c r="A377" s="1034"/>
      <c r="B377" s="1034"/>
      <c r="C377" s="1034"/>
      <c r="D377" s="1034"/>
      <c r="E377" s="1034"/>
      <c r="F377" s="1034"/>
      <c r="G377" s="1034"/>
      <c r="H377" s="1034"/>
      <c r="I377" s="1034"/>
      <c r="J377" s="1034"/>
      <c r="K377" s="1034"/>
    </row>
    <row r="378" spans="1:11" ht="14.25" customHeight="1">
      <c r="A378" s="1034"/>
      <c r="B378" s="1034"/>
      <c r="C378" s="1034"/>
      <c r="D378" s="1034"/>
      <c r="E378" s="1034"/>
      <c r="F378" s="1034"/>
      <c r="G378" s="1034"/>
      <c r="H378" s="1034"/>
      <c r="I378" s="1034"/>
      <c r="J378" s="1034"/>
      <c r="K378" s="1034"/>
    </row>
    <row r="379" spans="1:11" ht="14.25" customHeight="1">
      <c r="A379" s="1034"/>
      <c r="B379" s="1034"/>
      <c r="C379" s="1034"/>
      <c r="D379" s="1034"/>
      <c r="E379" s="1034"/>
      <c r="F379" s="1034"/>
      <c r="G379" s="1034"/>
      <c r="H379" s="1034"/>
      <c r="I379" s="1034"/>
      <c r="J379" s="1034"/>
      <c r="K379" s="1034"/>
    </row>
    <row r="380" spans="1:11">
      <c r="A380" s="1034"/>
      <c r="B380" s="1034"/>
      <c r="C380" s="1034"/>
      <c r="D380" s="1034"/>
      <c r="E380" s="1034"/>
      <c r="F380" s="1034"/>
      <c r="G380" s="1034"/>
      <c r="H380" s="1034"/>
      <c r="I380" s="1034"/>
      <c r="J380" s="1034"/>
      <c r="K380" s="1034"/>
    </row>
    <row r="382" spans="1:11" s="2" customFormat="1">
      <c r="A382" s="164">
        <v>15</v>
      </c>
    </row>
    <row r="384" spans="1:11" ht="21">
      <c r="A384" s="976" t="s">
        <v>809</v>
      </c>
      <c r="B384" s="977"/>
      <c r="C384" s="977"/>
      <c r="D384" s="977"/>
      <c r="E384" s="977"/>
      <c r="F384" s="977"/>
      <c r="G384" s="977"/>
      <c r="H384" s="977"/>
      <c r="I384" s="977"/>
      <c r="J384" s="977"/>
      <c r="K384" s="1042"/>
    </row>
    <row r="385" spans="1:11" ht="21">
      <c r="A385" s="1112"/>
      <c r="B385" s="1113"/>
      <c r="C385" s="1113"/>
      <c r="D385" s="1113"/>
      <c r="E385" s="1113"/>
      <c r="F385" s="1113"/>
      <c r="G385" s="1113"/>
      <c r="H385" s="1113"/>
      <c r="I385" s="1113"/>
      <c r="J385" s="1113"/>
      <c r="K385" s="1113"/>
    </row>
    <row r="386" spans="1:11" ht="21">
      <c r="A386" s="535" t="s">
        <v>825</v>
      </c>
      <c r="B386" s="536">
        <v>2021</v>
      </c>
      <c r="C386" s="536">
        <v>2022</v>
      </c>
      <c r="D386" s="536">
        <v>2023</v>
      </c>
      <c r="E386" s="536"/>
      <c r="F386" s="536"/>
      <c r="G386" s="537"/>
      <c r="H386" s="537"/>
      <c r="I386" s="537"/>
      <c r="J386" s="537"/>
      <c r="K386" s="537"/>
    </row>
    <row r="387" spans="1:11" ht="31.5">
      <c r="A387" s="538" t="s">
        <v>618</v>
      </c>
      <c r="B387" s="539">
        <v>3200</v>
      </c>
      <c r="C387" s="539">
        <v>3300</v>
      </c>
      <c r="D387" s="539">
        <v>3400</v>
      </c>
      <c r="E387" s="539"/>
      <c r="F387" s="539"/>
      <c r="G387" s="537"/>
      <c r="H387" s="537"/>
      <c r="I387" s="537"/>
      <c r="J387" s="537"/>
      <c r="K387" s="537"/>
    </row>
    <row r="388" spans="1:11" ht="21">
      <c r="A388" s="535" t="s">
        <v>251</v>
      </c>
      <c r="B388" s="535">
        <v>485</v>
      </c>
      <c r="C388" s="535">
        <v>485</v>
      </c>
      <c r="D388" s="535">
        <v>485</v>
      </c>
      <c r="E388" s="535"/>
      <c r="F388" s="535"/>
      <c r="G388" s="537"/>
      <c r="H388" s="537"/>
      <c r="I388" s="537"/>
      <c r="J388" s="537"/>
      <c r="K388" s="537"/>
    </row>
    <row r="389" spans="1:11" ht="21">
      <c r="A389" s="535" t="s">
        <v>619</v>
      </c>
      <c r="B389" s="540">
        <v>-19</v>
      </c>
      <c r="C389" s="540">
        <v>-30</v>
      </c>
      <c r="D389" s="540">
        <v>-35</v>
      </c>
      <c r="E389" s="540"/>
      <c r="F389" s="540"/>
      <c r="G389" s="537"/>
      <c r="H389" s="537"/>
      <c r="I389" s="537"/>
      <c r="J389" s="537"/>
      <c r="K389" s="537"/>
    </row>
    <row r="390" spans="1:11" ht="21">
      <c r="A390" s="535" t="s">
        <v>620</v>
      </c>
      <c r="B390" s="540">
        <v>-34</v>
      </c>
      <c r="C390" s="540">
        <v>-10</v>
      </c>
      <c r="D390" s="540">
        <v>-10</v>
      </c>
      <c r="E390" s="540"/>
      <c r="F390" s="540"/>
      <c r="G390" s="537"/>
      <c r="H390" s="537"/>
      <c r="I390" s="537"/>
      <c r="J390" s="537"/>
      <c r="K390" s="537"/>
    </row>
    <row r="391" spans="1:11" ht="21">
      <c r="A391" s="535" t="s">
        <v>621</v>
      </c>
      <c r="B391" s="535">
        <v>0</v>
      </c>
      <c r="C391" s="535">
        <v>0</v>
      </c>
      <c r="D391" s="535">
        <v>0</v>
      </c>
      <c r="E391" s="535"/>
      <c r="F391" s="535"/>
      <c r="G391" s="537"/>
      <c r="H391" s="537"/>
      <c r="I391" s="537"/>
      <c r="J391" s="537"/>
      <c r="K391" s="537"/>
    </row>
    <row r="392" spans="1:11" ht="21">
      <c r="A392" s="535" t="s">
        <v>255</v>
      </c>
      <c r="B392" s="535">
        <v>0</v>
      </c>
      <c r="C392" s="541">
        <v>0</v>
      </c>
      <c r="D392" s="541">
        <v>0</v>
      </c>
      <c r="E392" s="535"/>
      <c r="F392" s="540"/>
      <c r="G392" s="537"/>
      <c r="H392" s="537"/>
      <c r="I392" s="537"/>
      <c r="J392" s="537"/>
      <c r="K392" s="537"/>
    </row>
    <row r="393" spans="1:11" ht="21">
      <c r="A393" s="542" t="s">
        <v>299</v>
      </c>
      <c r="B393" s="543">
        <v>3632</v>
      </c>
      <c r="C393" s="543">
        <v>3745</v>
      </c>
      <c r="D393" s="543">
        <v>3840</v>
      </c>
      <c r="E393" s="543"/>
      <c r="F393" s="543"/>
      <c r="G393" s="537"/>
      <c r="H393" s="537"/>
      <c r="I393" s="537"/>
      <c r="J393" s="537"/>
      <c r="K393" s="537"/>
    </row>
    <row r="394" spans="1:11" ht="21">
      <c r="A394" s="535"/>
      <c r="B394" s="535"/>
      <c r="C394" s="535"/>
      <c r="D394" s="535"/>
      <c r="E394" s="535"/>
      <c r="F394" s="535"/>
      <c r="G394" s="537"/>
      <c r="H394" s="537"/>
      <c r="I394" s="537"/>
      <c r="J394" s="537"/>
      <c r="K394" s="537"/>
    </row>
    <row r="395" spans="1:11" ht="21">
      <c r="A395" s="535" t="s">
        <v>257</v>
      </c>
      <c r="B395" s="535">
        <v>0</v>
      </c>
      <c r="C395" s="535">
        <v>0</v>
      </c>
      <c r="D395" s="535">
        <v>0</v>
      </c>
      <c r="E395" s="535"/>
      <c r="F395" s="535"/>
      <c r="G395" s="537"/>
      <c r="H395" s="537"/>
      <c r="I395" s="537"/>
      <c r="J395" s="537"/>
      <c r="K395" s="537"/>
    </row>
    <row r="396" spans="1:11" ht="21">
      <c r="A396" s="535" t="s">
        <v>258</v>
      </c>
      <c r="B396" s="535">
        <v>20</v>
      </c>
      <c r="C396" s="535">
        <v>5</v>
      </c>
      <c r="D396" s="535">
        <v>-1</v>
      </c>
      <c r="E396" s="535"/>
      <c r="F396" s="535"/>
      <c r="G396" s="537"/>
      <c r="H396" s="537"/>
      <c r="I396" s="537"/>
      <c r="J396" s="537"/>
      <c r="K396" s="537"/>
    </row>
    <row r="397" spans="1:11" ht="21">
      <c r="A397" s="535" t="s">
        <v>259</v>
      </c>
      <c r="B397" s="544">
        <v>-1320</v>
      </c>
      <c r="C397" s="544">
        <v>-1905</v>
      </c>
      <c r="D397" s="544">
        <v>-2100</v>
      </c>
      <c r="E397" s="544"/>
      <c r="F397" s="544"/>
      <c r="G397" s="537"/>
      <c r="H397" s="537"/>
      <c r="I397" s="537"/>
      <c r="J397" s="537"/>
      <c r="K397" s="537"/>
    </row>
    <row r="398" spans="1:11" ht="21">
      <c r="A398" s="542" t="s">
        <v>300</v>
      </c>
      <c r="B398" s="542">
        <v>-1300</v>
      </c>
      <c r="C398" s="542">
        <v>-1900</v>
      </c>
      <c r="D398" s="542">
        <v>-2101</v>
      </c>
      <c r="E398" s="542"/>
      <c r="F398" s="542"/>
      <c r="G398" s="537"/>
      <c r="H398" s="537"/>
      <c r="I398" s="537"/>
      <c r="J398" s="537"/>
      <c r="K398" s="537"/>
    </row>
    <row r="399" spans="1:11" ht="21">
      <c r="A399" s="645"/>
      <c r="B399" s="645"/>
      <c r="C399" s="645"/>
      <c r="D399" s="645"/>
      <c r="E399" s="535"/>
      <c r="F399" s="535"/>
      <c r="G399" s="537"/>
      <c r="H399" s="537"/>
      <c r="I399" s="537"/>
      <c r="J399" s="537"/>
      <c r="K399" s="537"/>
    </row>
    <row r="400" spans="1:11" ht="21">
      <c r="A400" s="535" t="s">
        <v>261</v>
      </c>
      <c r="B400" s="535">
        <v>0</v>
      </c>
      <c r="C400" s="535">
        <v>0</v>
      </c>
      <c r="D400" s="535">
        <v>0</v>
      </c>
      <c r="E400" s="540"/>
      <c r="F400" s="540"/>
      <c r="G400" s="537"/>
      <c r="H400" s="537"/>
      <c r="I400" s="537"/>
      <c r="J400" s="537"/>
      <c r="K400" s="537"/>
    </row>
    <row r="401" spans="1:11" ht="21">
      <c r="A401" s="535" t="s">
        <v>262</v>
      </c>
      <c r="B401" s="540">
        <v>-1000</v>
      </c>
      <c r="C401" s="540">
        <v>-1000</v>
      </c>
      <c r="D401" s="540">
        <v>-1000</v>
      </c>
      <c r="E401" s="540"/>
      <c r="F401" s="540"/>
      <c r="G401" s="537"/>
      <c r="H401" s="537"/>
      <c r="I401" s="537"/>
      <c r="J401" s="537"/>
      <c r="K401" s="537"/>
    </row>
    <row r="402" spans="1:11" ht="21">
      <c r="A402" s="535" t="s">
        <v>826</v>
      </c>
      <c r="B402" s="540">
        <v>-500</v>
      </c>
      <c r="C402" s="540">
        <v>-600</v>
      </c>
      <c r="D402" s="540">
        <v>-1000</v>
      </c>
      <c r="E402" s="540"/>
      <c r="F402" s="540"/>
      <c r="G402" s="537"/>
      <c r="H402" s="537"/>
      <c r="I402" s="537"/>
      <c r="J402" s="537"/>
      <c r="K402" s="537"/>
    </row>
    <row r="403" spans="1:11" ht="21">
      <c r="A403" s="542" t="s">
        <v>301</v>
      </c>
      <c r="B403" s="542">
        <v>-1500</v>
      </c>
      <c r="C403" s="542">
        <v>-1600</v>
      </c>
      <c r="D403" s="542">
        <v>-2000</v>
      </c>
      <c r="E403" s="542"/>
      <c r="F403" s="542"/>
      <c r="G403" s="537"/>
      <c r="H403" s="537"/>
      <c r="I403" s="537"/>
      <c r="J403" s="537"/>
      <c r="K403" s="537"/>
    </row>
    <row r="404" spans="1:11" ht="21">
      <c r="A404" s="535"/>
      <c r="B404" s="535"/>
      <c r="C404" s="535"/>
      <c r="D404" s="535"/>
      <c r="E404" s="536"/>
      <c r="F404" s="536"/>
      <c r="G404" s="537"/>
      <c r="H404" s="537"/>
      <c r="I404" s="537"/>
      <c r="J404" s="537"/>
      <c r="K404" s="537"/>
    </row>
    <row r="405" spans="1:11" ht="21">
      <c r="A405" s="536" t="s">
        <v>265</v>
      </c>
      <c r="B405" s="536">
        <v>832</v>
      </c>
      <c r="C405" s="536">
        <v>245</v>
      </c>
      <c r="D405" s="536">
        <v>-261</v>
      </c>
      <c r="E405" s="535"/>
      <c r="F405" s="535"/>
      <c r="G405" s="537"/>
      <c r="H405" s="537"/>
      <c r="I405" s="537"/>
      <c r="J405" s="537"/>
      <c r="K405" s="537"/>
    </row>
    <row r="406" spans="1:11" ht="21">
      <c r="A406" s="535" t="s">
        <v>827</v>
      </c>
      <c r="B406" s="535">
        <v>170</v>
      </c>
      <c r="C406" s="535">
        <v>1002</v>
      </c>
      <c r="D406" s="535">
        <v>1247</v>
      </c>
      <c r="E406" s="535"/>
      <c r="F406" s="535"/>
      <c r="G406" s="537"/>
      <c r="H406" s="537"/>
      <c r="I406" s="537"/>
      <c r="J406" s="537"/>
      <c r="K406" s="537"/>
    </row>
    <row r="407" spans="1:11" ht="21">
      <c r="A407" s="535" t="s">
        <v>828</v>
      </c>
      <c r="B407" s="535">
        <v>1002</v>
      </c>
      <c r="C407" s="535">
        <v>1247</v>
      </c>
      <c r="D407" s="535">
        <v>986</v>
      </c>
      <c r="E407" s="535"/>
      <c r="F407" s="535"/>
      <c r="G407" s="537"/>
      <c r="H407" s="537"/>
      <c r="I407" s="537"/>
      <c r="J407" s="537"/>
      <c r="K407" s="537"/>
    </row>
    <row r="408" spans="1:11" ht="15.75">
      <c r="A408" s="1114" t="s">
        <v>829</v>
      </c>
      <c r="B408" s="1115"/>
      <c r="C408" s="1115"/>
      <c r="D408" s="1115"/>
      <c r="E408" s="1115"/>
      <c r="F408" s="1115"/>
      <c r="G408" s="1115"/>
      <c r="H408" s="1115"/>
      <c r="I408" s="1115"/>
      <c r="J408" s="1115"/>
      <c r="K408" s="1116"/>
    </row>
    <row r="409" spans="1:11" ht="15.75" customHeight="1">
      <c r="A409" s="1117" t="s">
        <v>830</v>
      </c>
      <c r="B409" s="1117"/>
      <c r="C409" s="1117"/>
      <c r="D409" s="1117"/>
      <c r="E409" s="1117"/>
      <c r="F409" s="1117"/>
      <c r="G409" s="1117"/>
      <c r="H409" s="1117"/>
      <c r="I409" s="1117"/>
      <c r="J409" s="1117"/>
      <c r="K409" s="1117"/>
    </row>
    <row r="410" spans="1:11" ht="14.25" customHeight="1">
      <c r="A410" s="1034"/>
      <c r="B410" s="1034"/>
      <c r="C410" s="1034"/>
      <c r="D410" s="1034"/>
      <c r="E410" s="1034"/>
      <c r="F410" s="1034"/>
      <c r="G410" s="1034"/>
      <c r="H410" s="1034"/>
      <c r="I410" s="1034"/>
      <c r="J410" s="1034"/>
      <c r="K410" s="1034"/>
    </row>
    <row r="411" spans="1:11" ht="14.25" customHeight="1">
      <c r="A411" s="1034"/>
      <c r="B411" s="1034"/>
      <c r="C411" s="1034"/>
      <c r="D411" s="1034"/>
      <c r="E411" s="1034"/>
      <c r="F411" s="1034"/>
      <c r="G411" s="1034"/>
      <c r="H411" s="1034"/>
      <c r="I411" s="1034"/>
      <c r="J411" s="1034"/>
      <c r="K411" s="1034"/>
    </row>
    <row r="412" spans="1:11" ht="14.25" customHeight="1">
      <c r="A412" s="1034"/>
      <c r="B412" s="1034"/>
      <c r="C412" s="1034"/>
      <c r="D412" s="1034"/>
      <c r="E412" s="1034"/>
      <c r="F412" s="1034"/>
      <c r="G412" s="1034"/>
      <c r="H412" s="1034"/>
      <c r="I412" s="1034"/>
      <c r="J412" s="1034"/>
      <c r="K412" s="1034"/>
    </row>
    <row r="413" spans="1:11" ht="14.25" customHeight="1">
      <c r="A413" s="1034"/>
      <c r="B413" s="1034"/>
      <c r="C413" s="1034"/>
      <c r="D413" s="1034"/>
      <c r="E413" s="1034"/>
      <c r="F413" s="1034"/>
      <c r="G413" s="1034"/>
      <c r="H413" s="1034"/>
      <c r="I413" s="1034"/>
      <c r="J413" s="1034"/>
      <c r="K413" s="1034"/>
    </row>
    <row r="414" spans="1:11">
      <c r="A414" s="1034"/>
      <c r="B414" s="1034"/>
      <c r="C414" s="1034"/>
      <c r="D414" s="1034"/>
      <c r="E414" s="1034"/>
      <c r="F414" s="1034"/>
      <c r="G414" s="1034"/>
      <c r="H414" s="1034"/>
      <c r="I414" s="1034"/>
      <c r="J414" s="1034"/>
      <c r="K414" s="1034"/>
    </row>
    <row r="415" spans="1:11">
      <c r="A415" s="1034"/>
      <c r="B415" s="1034"/>
      <c r="C415" s="1034"/>
      <c r="D415" s="1034"/>
      <c r="E415" s="1034"/>
      <c r="F415" s="1034"/>
      <c r="G415" s="1034"/>
      <c r="H415" s="1034"/>
      <c r="I415" s="1034"/>
      <c r="J415" s="1034"/>
      <c r="K415" s="1034"/>
    </row>
    <row r="417" spans="1:11" s="2" customFormat="1">
      <c r="A417" s="164">
        <v>16</v>
      </c>
    </row>
    <row r="419" spans="1:11" ht="21">
      <c r="A419" s="976" t="s">
        <v>809</v>
      </c>
      <c r="B419" s="977"/>
      <c r="C419" s="977"/>
      <c r="D419" s="977"/>
      <c r="E419" s="977"/>
      <c r="F419" s="977"/>
      <c r="G419" s="977"/>
      <c r="H419" s="977"/>
      <c r="I419" s="977"/>
      <c r="J419" s="977"/>
      <c r="K419" s="1042"/>
    </row>
    <row r="420" spans="1:11" ht="21">
      <c r="A420" s="1112"/>
      <c r="B420" s="1113"/>
      <c r="C420" s="1113"/>
      <c r="D420" s="1113"/>
      <c r="E420" s="1113"/>
      <c r="F420" s="1113"/>
      <c r="G420" s="1113"/>
      <c r="H420" s="1113"/>
      <c r="I420" s="1113"/>
      <c r="J420" s="1113"/>
      <c r="K420" s="1113"/>
    </row>
    <row r="421" spans="1:11" ht="21">
      <c r="A421" s="535" t="s">
        <v>825</v>
      </c>
      <c r="B421" s="536">
        <v>2021</v>
      </c>
      <c r="C421" s="536">
        <v>2022</v>
      </c>
      <c r="D421" s="536">
        <v>2023</v>
      </c>
      <c r="E421" s="536"/>
      <c r="F421" s="536"/>
      <c r="G421" s="537"/>
      <c r="H421" s="537"/>
      <c r="I421" s="537"/>
      <c r="J421" s="537"/>
      <c r="K421" s="537"/>
    </row>
    <row r="422" spans="1:11" ht="31.5">
      <c r="A422" s="538" t="s">
        <v>618</v>
      </c>
      <c r="B422" s="539">
        <v>600</v>
      </c>
      <c r="C422" s="539">
        <v>300</v>
      </c>
      <c r="D422" s="539">
        <v>-100</v>
      </c>
      <c r="E422" s="539"/>
      <c r="F422" s="539"/>
      <c r="G422" s="537"/>
      <c r="H422" s="537"/>
      <c r="I422" s="537"/>
      <c r="J422" s="537"/>
      <c r="K422" s="537"/>
    </row>
    <row r="423" spans="1:11" ht="21">
      <c r="A423" s="535" t="s">
        <v>251</v>
      </c>
      <c r="B423" s="535">
        <v>250</v>
      </c>
      <c r="C423" s="535">
        <v>250</v>
      </c>
      <c r="D423" s="535">
        <v>250</v>
      </c>
      <c r="E423" s="535"/>
      <c r="F423" s="535"/>
      <c r="G423" s="537"/>
      <c r="H423" s="537"/>
      <c r="I423" s="537"/>
      <c r="J423" s="537"/>
      <c r="K423" s="537"/>
    </row>
    <row r="424" spans="1:11" ht="21">
      <c r="A424" s="535" t="s">
        <v>619</v>
      </c>
      <c r="B424" s="540">
        <v>-19</v>
      </c>
      <c r="C424" s="540">
        <v>-80</v>
      </c>
      <c r="D424" s="540">
        <v>-100</v>
      </c>
      <c r="E424" s="540"/>
      <c r="F424" s="540"/>
      <c r="G424" s="537"/>
      <c r="H424" s="537"/>
      <c r="I424" s="537"/>
      <c r="J424" s="537"/>
      <c r="K424" s="537"/>
    </row>
    <row r="425" spans="1:11" ht="21">
      <c r="A425" s="535" t="s">
        <v>620</v>
      </c>
      <c r="B425" s="540">
        <v>-34</v>
      </c>
      <c r="C425" s="540">
        <v>-50</v>
      </c>
      <c r="D425" s="540">
        <v>-70</v>
      </c>
      <c r="E425" s="540"/>
      <c r="F425" s="540"/>
      <c r="G425" s="537"/>
      <c r="H425" s="537"/>
      <c r="I425" s="537"/>
      <c r="J425" s="537"/>
      <c r="K425" s="537"/>
    </row>
    <row r="426" spans="1:11" ht="21">
      <c r="A426" s="535" t="s">
        <v>621</v>
      </c>
      <c r="B426" s="535">
        <v>0</v>
      </c>
      <c r="C426" s="535">
        <v>0</v>
      </c>
      <c r="D426" s="535">
        <v>0</v>
      </c>
      <c r="E426" s="535"/>
      <c r="F426" s="535"/>
      <c r="G426" s="537"/>
      <c r="H426" s="537"/>
      <c r="I426" s="537"/>
      <c r="J426" s="537"/>
      <c r="K426" s="537"/>
    </row>
    <row r="427" spans="1:11" ht="21">
      <c r="A427" s="535" t="s">
        <v>255</v>
      </c>
      <c r="B427" s="535">
        <v>0</v>
      </c>
      <c r="C427" s="541">
        <v>0</v>
      </c>
      <c r="D427" s="541">
        <v>0</v>
      </c>
      <c r="E427" s="535"/>
      <c r="F427" s="540"/>
      <c r="G427" s="537"/>
      <c r="H427" s="537"/>
      <c r="I427" s="537"/>
      <c r="J427" s="537"/>
      <c r="K427" s="537"/>
    </row>
    <row r="428" spans="1:11" ht="21">
      <c r="A428" s="542" t="s">
        <v>299</v>
      </c>
      <c r="B428" s="543">
        <v>797</v>
      </c>
      <c r="C428" s="543">
        <v>420</v>
      </c>
      <c r="D428" s="543">
        <v>-20</v>
      </c>
      <c r="E428" s="543"/>
      <c r="F428" s="543"/>
      <c r="G428" s="537"/>
      <c r="H428" s="537"/>
      <c r="I428" s="537"/>
      <c r="J428" s="537"/>
      <c r="K428" s="537"/>
    </row>
    <row r="429" spans="1:11" ht="21">
      <c r="A429" s="535"/>
      <c r="B429" s="535"/>
      <c r="C429" s="535"/>
      <c r="D429" s="535"/>
      <c r="E429" s="535"/>
      <c r="F429" s="535"/>
      <c r="G429" s="537"/>
      <c r="H429" s="537"/>
      <c r="I429" s="537"/>
      <c r="J429" s="537"/>
      <c r="K429" s="537"/>
    </row>
    <row r="430" spans="1:11" ht="21">
      <c r="A430" s="535" t="s">
        <v>257</v>
      </c>
      <c r="B430" s="535">
        <v>125</v>
      </c>
      <c r="C430" s="535">
        <v>250</v>
      </c>
      <c r="D430" s="535">
        <v>300</v>
      </c>
      <c r="E430" s="535"/>
      <c r="F430" s="535"/>
      <c r="G430" s="537"/>
      <c r="H430" s="537"/>
      <c r="I430" s="537"/>
      <c r="J430" s="537"/>
      <c r="K430" s="537"/>
    </row>
    <row r="431" spans="1:11" ht="21">
      <c r="A431" s="535" t="s">
        <v>258</v>
      </c>
      <c r="B431" s="535">
        <v>15</v>
      </c>
      <c r="C431" s="535">
        <v>19</v>
      </c>
      <c r="D431" s="535">
        <v>24</v>
      </c>
      <c r="E431" s="535"/>
      <c r="F431" s="535"/>
      <c r="G431" s="537"/>
      <c r="H431" s="537"/>
      <c r="I431" s="537"/>
      <c r="J431" s="537"/>
      <c r="K431" s="537"/>
    </row>
    <row r="432" spans="1:11" ht="21">
      <c r="A432" s="535" t="s">
        <v>259</v>
      </c>
      <c r="B432" s="778">
        <v>200</v>
      </c>
      <c r="C432" s="778">
        <v>0</v>
      </c>
      <c r="D432" s="778">
        <v>0</v>
      </c>
      <c r="E432" s="544"/>
      <c r="F432" s="544"/>
      <c r="G432" s="537"/>
      <c r="H432" s="537"/>
      <c r="I432" s="537"/>
      <c r="J432" s="537"/>
      <c r="K432" s="537"/>
    </row>
    <row r="433" spans="1:11" ht="21">
      <c r="A433" s="542" t="s">
        <v>300</v>
      </c>
      <c r="B433" s="779">
        <v>340</v>
      </c>
      <c r="C433" s="779">
        <v>269</v>
      </c>
      <c r="D433" s="779">
        <v>324</v>
      </c>
      <c r="E433" s="542"/>
      <c r="F433" s="542"/>
      <c r="G433" s="537"/>
      <c r="H433" s="537"/>
      <c r="I433" s="537"/>
      <c r="J433" s="537"/>
      <c r="K433" s="537"/>
    </row>
    <row r="434" spans="1:11" ht="21">
      <c r="A434" s="645"/>
      <c r="B434" s="645"/>
      <c r="C434" s="645"/>
      <c r="D434" s="645"/>
      <c r="E434" s="535"/>
      <c r="F434" s="535"/>
      <c r="G434" s="537"/>
      <c r="H434" s="537"/>
      <c r="I434" s="537"/>
      <c r="J434" s="537"/>
      <c r="K434" s="537"/>
    </row>
    <row r="435" spans="1:11" ht="21">
      <c r="A435" s="535" t="s">
        <v>261</v>
      </c>
      <c r="B435" s="535">
        <v>0</v>
      </c>
      <c r="C435" s="535">
        <v>0</v>
      </c>
      <c r="D435" s="535">
        <v>0</v>
      </c>
      <c r="E435" s="540"/>
      <c r="F435" s="540"/>
      <c r="G435" s="537"/>
      <c r="H435" s="537"/>
      <c r="I435" s="537"/>
      <c r="J435" s="537"/>
      <c r="K435" s="537"/>
    </row>
    <row r="436" spans="1:11" ht="21">
      <c r="A436" s="535" t="s">
        <v>262</v>
      </c>
      <c r="B436" s="540">
        <v>-700</v>
      </c>
      <c r="C436" s="540">
        <v>-800</v>
      </c>
      <c r="D436" s="540">
        <v>-900</v>
      </c>
      <c r="E436" s="540"/>
      <c r="F436" s="540"/>
      <c r="G436" s="537"/>
      <c r="H436" s="537"/>
      <c r="I436" s="537"/>
      <c r="J436" s="537"/>
      <c r="K436" s="537"/>
    </row>
    <row r="437" spans="1:11" ht="21">
      <c r="A437" s="535" t="s">
        <v>826</v>
      </c>
      <c r="B437" s="541">
        <v>0</v>
      </c>
      <c r="C437" s="541">
        <v>0</v>
      </c>
      <c r="D437" s="541">
        <v>0</v>
      </c>
      <c r="E437" s="540"/>
      <c r="F437" s="540"/>
      <c r="G437" s="537"/>
      <c r="H437" s="537"/>
      <c r="I437" s="537"/>
      <c r="J437" s="537"/>
      <c r="K437" s="537"/>
    </row>
    <row r="438" spans="1:11" ht="21">
      <c r="A438" s="542" t="s">
        <v>301</v>
      </c>
      <c r="B438" s="542">
        <v>-700</v>
      </c>
      <c r="C438" s="542">
        <v>-800</v>
      </c>
      <c r="D438" s="542">
        <v>-900</v>
      </c>
      <c r="E438" s="542"/>
      <c r="F438" s="542"/>
      <c r="G438" s="537"/>
      <c r="H438" s="537"/>
      <c r="I438" s="537"/>
      <c r="J438" s="537"/>
      <c r="K438" s="537"/>
    </row>
    <row r="439" spans="1:11" ht="21">
      <c r="A439" s="535"/>
      <c r="B439" s="535"/>
      <c r="C439" s="535"/>
      <c r="D439" s="535"/>
      <c r="E439" s="535"/>
      <c r="F439" s="535"/>
      <c r="G439" s="537"/>
      <c r="H439" s="537"/>
      <c r="I439" s="537"/>
      <c r="J439" s="537"/>
      <c r="K439" s="537"/>
    </row>
    <row r="440" spans="1:11" ht="21">
      <c r="A440" s="536" t="s">
        <v>265</v>
      </c>
      <c r="B440" s="536">
        <v>437</v>
      </c>
      <c r="C440" s="536">
        <v>-111</v>
      </c>
      <c r="D440" s="536">
        <v>-596</v>
      </c>
      <c r="E440" s="536"/>
      <c r="F440" s="536"/>
      <c r="G440" s="537"/>
      <c r="H440" s="537"/>
      <c r="I440" s="537"/>
      <c r="J440" s="537"/>
      <c r="K440" s="537"/>
    </row>
    <row r="441" spans="1:11" ht="21">
      <c r="A441" s="535" t="s">
        <v>827</v>
      </c>
      <c r="B441" s="535">
        <v>270</v>
      </c>
      <c r="C441" s="535">
        <v>707</v>
      </c>
      <c r="D441" s="535">
        <v>596</v>
      </c>
      <c r="E441" s="535"/>
      <c r="F441" s="535"/>
      <c r="G441" s="537"/>
      <c r="H441" s="537"/>
      <c r="I441" s="537"/>
      <c r="J441" s="537"/>
      <c r="K441" s="537"/>
    </row>
    <row r="442" spans="1:11" ht="21">
      <c r="A442" s="535" t="s">
        <v>828</v>
      </c>
      <c r="B442" s="535">
        <v>707</v>
      </c>
      <c r="C442" s="535">
        <v>596</v>
      </c>
      <c r="D442" s="535">
        <v>0</v>
      </c>
      <c r="E442" s="535"/>
      <c r="F442" s="535"/>
      <c r="G442" s="537"/>
      <c r="H442" s="537"/>
      <c r="I442" s="537"/>
      <c r="J442" s="537"/>
      <c r="K442" s="537"/>
    </row>
    <row r="443" spans="1:11" ht="15.75">
      <c r="A443" s="1114" t="s">
        <v>851</v>
      </c>
      <c r="B443" s="1115"/>
      <c r="C443" s="1115"/>
      <c r="D443" s="1115"/>
      <c r="E443" s="1115"/>
      <c r="F443" s="1115"/>
      <c r="G443" s="1115"/>
      <c r="H443" s="1115"/>
      <c r="I443" s="1115"/>
      <c r="J443" s="1115"/>
      <c r="K443" s="1116"/>
    </row>
    <row r="444" spans="1:11" ht="15.75" customHeight="1">
      <c r="A444" s="1117" t="s">
        <v>852</v>
      </c>
      <c r="B444" s="1117"/>
      <c r="C444" s="1117"/>
      <c r="D444" s="1117"/>
      <c r="E444" s="1117"/>
      <c r="F444" s="1117"/>
      <c r="G444" s="1117"/>
      <c r="H444" s="1117"/>
      <c r="I444" s="1117"/>
      <c r="J444" s="1117"/>
      <c r="K444" s="1117"/>
    </row>
    <row r="445" spans="1:11" ht="14.25" customHeight="1">
      <c r="A445" s="1034"/>
      <c r="B445" s="1034"/>
      <c r="C445" s="1034"/>
      <c r="D445" s="1034"/>
      <c r="E445" s="1034"/>
      <c r="F445" s="1034"/>
      <c r="G445" s="1034"/>
      <c r="H445" s="1034"/>
      <c r="I445" s="1034"/>
      <c r="J445" s="1034"/>
      <c r="K445" s="1034"/>
    </row>
    <row r="446" spans="1:11" ht="14.25" customHeight="1">
      <c r="A446" s="1034"/>
      <c r="B446" s="1034"/>
      <c r="C446" s="1034"/>
      <c r="D446" s="1034"/>
      <c r="E446" s="1034"/>
      <c r="F446" s="1034"/>
      <c r="G446" s="1034"/>
      <c r="H446" s="1034"/>
      <c r="I446" s="1034"/>
      <c r="J446" s="1034"/>
      <c r="K446" s="1034"/>
    </row>
    <row r="447" spans="1:11" ht="14.25" customHeight="1">
      <c r="A447" s="1034"/>
      <c r="B447" s="1034"/>
      <c r="C447" s="1034"/>
      <c r="D447" s="1034"/>
      <c r="E447" s="1034"/>
      <c r="F447" s="1034"/>
      <c r="G447" s="1034"/>
      <c r="H447" s="1034"/>
      <c r="I447" s="1034"/>
      <c r="J447" s="1034"/>
      <c r="K447" s="1034"/>
    </row>
    <row r="448" spans="1:11" ht="14.25" customHeight="1">
      <c r="A448" s="1034"/>
      <c r="B448" s="1034"/>
      <c r="C448" s="1034"/>
      <c r="D448" s="1034"/>
      <c r="E448" s="1034"/>
      <c r="F448" s="1034"/>
      <c r="G448" s="1034"/>
      <c r="H448" s="1034"/>
      <c r="I448" s="1034"/>
      <c r="J448" s="1034"/>
      <c r="K448" s="1034"/>
    </row>
    <row r="449" spans="1:11">
      <c r="A449" s="1034"/>
      <c r="B449" s="1034"/>
      <c r="C449" s="1034"/>
      <c r="D449" s="1034"/>
      <c r="E449" s="1034"/>
      <c r="F449" s="1034"/>
      <c r="G449" s="1034"/>
      <c r="H449" s="1034"/>
      <c r="I449" s="1034"/>
      <c r="J449" s="1034"/>
      <c r="K449" s="1034"/>
    </row>
    <row r="450" spans="1:11" ht="37.5" customHeight="1">
      <c r="A450" s="1034"/>
      <c r="B450" s="1034"/>
      <c r="C450" s="1034"/>
      <c r="D450" s="1034"/>
      <c r="E450" s="1034"/>
      <c r="F450" s="1034"/>
      <c r="G450" s="1034"/>
      <c r="H450" s="1034"/>
      <c r="I450" s="1034"/>
      <c r="J450" s="1034"/>
      <c r="K450" s="1034"/>
    </row>
    <row r="451" spans="1:11" ht="15.75">
      <c r="A451" s="1114" t="s">
        <v>853</v>
      </c>
      <c r="B451" s="1115"/>
      <c r="C451" s="1115"/>
      <c r="D451" s="1115"/>
      <c r="E451" s="1115"/>
      <c r="F451" s="1115"/>
      <c r="G451" s="1115"/>
      <c r="H451" s="1115"/>
      <c r="I451" s="1115"/>
      <c r="J451" s="1115"/>
      <c r="K451" s="1116"/>
    </row>
  </sheetData>
  <mergeCells count="39">
    <mergeCell ref="A419:K419"/>
    <mergeCell ref="A420:K420"/>
    <mergeCell ref="A443:K443"/>
    <mergeCell ref="A444:K450"/>
    <mergeCell ref="A451:K451"/>
    <mergeCell ref="A221:K221"/>
    <mergeCell ref="A274:K274"/>
    <mergeCell ref="A225:K225"/>
    <mergeCell ref="A226:K226"/>
    <mergeCell ref="A247:F247"/>
    <mergeCell ref="A266:K266"/>
    <mergeCell ref="A270:K270"/>
    <mergeCell ref="A146:K147"/>
    <mergeCell ref="A145:K145"/>
    <mergeCell ref="A192:K192"/>
    <mergeCell ref="A193:K193"/>
    <mergeCell ref="A217:K217"/>
    <mergeCell ref="A136:L136"/>
    <mergeCell ref="A102:L105"/>
    <mergeCell ref="A72:L78"/>
    <mergeCell ref="A86:L92"/>
    <mergeCell ref="A8:L13"/>
    <mergeCell ref="A27:L33"/>
    <mergeCell ref="A384:K384"/>
    <mergeCell ref="A385:K385"/>
    <mergeCell ref="A408:K408"/>
    <mergeCell ref="A409:K415"/>
    <mergeCell ref="A151:B151"/>
    <mergeCell ref="A185:K185"/>
    <mergeCell ref="A186:K186"/>
    <mergeCell ref="A187:K187"/>
    <mergeCell ref="A188:K188"/>
    <mergeCell ref="A218:K218"/>
    <mergeCell ref="A219:K219"/>
    <mergeCell ref="A350:K350"/>
    <mergeCell ref="A351:K351"/>
    <mergeCell ref="A375:K375"/>
    <mergeCell ref="A376:K380"/>
    <mergeCell ref="A220:K220"/>
  </mergeCells>
  <pageMargins left="0.7" right="0.7" top="0.75" bottom="0.75" header="0.3" footer="0.3"/>
  <pageSetup paperSize="9"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41"/>
  <sheetViews>
    <sheetView zoomScale="85" zoomScaleNormal="85" workbookViewId="0">
      <selection activeCell="I335" sqref="I335"/>
    </sheetView>
  </sheetViews>
  <sheetFormatPr defaultRowHeight="14.25"/>
  <cols>
    <col min="1" max="1" width="43.265625" bestFit="1" customWidth="1"/>
    <col min="2" max="2" width="18.86328125" bestFit="1" customWidth="1"/>
    <col min="3" max="3" width="13.73046875" customWidth="1"/>
    <col min="4" max="4" width="12.73046875" bestFit="1" customWidth="1"/>
    <col min="5" max="5" width="11.265625" bestFit="1" customWidth="1"/>
    <col min="6" max="6" width="12.73046875" bestFit="1" customWidth="1"/>
    <col min="9" max="9" width="20.59765625" bestFit="1" customWidth="1"/>
    <col min="12" max="12" width="9.1328125" bestFit="1" customWidth="1"/>
  </cols>
  <sheetData>
    <row r="1" spans="1:12" s="163" customFormat="1">
      <c r="A1" s="325">
        <v>1</v>
      </c>
    </row>
    <row r="2" spans="1:12">
      <c r="A2" s="987" t="s">
        <v>351</v>
      </c>
      <c r="B2" s="988"/>
      <c r="C2" s="988"/>
      <c r="D2" s="988"/>
      <c r="E2" s="988"/>
      <c r="F2" s="988"/>
      <c r="G2" s="988"/>
      <c r="H2" s="988"/>
      <c r="I2" s="988"/>
      <c r="J2" s="988"/>
      <c r="K2" s="988"/>
      <c r="L2" s="989"/>
    </row>
    <row r="3" spans="1:12">
      <c r="A3" s="990"/>
      <c r="B3" s="981"/>
      <c r="C3" s="981"/>
      <c r="D3" s="981"/>
      <c r="E3" s="981"/>
      <c r="F3" s="981"/>
      <c r="G3" s="981"/>
      <c r="H3" s="981"/>
      <c r="I3" s="981"/>
      <c r="J3" s="981"/>
      <c r="K3" s="981"/>
      <c r="L3" s="991"/>
    </row>
    <row r="4" spans="1:12">
      <c r="A4" s="990"/>
      <c r="B4" s="981"/>
      <c r="C4" s="981"/>
      <c r="D4" s="981"/>
      <c r="E4" s="981"/>
      <c r="F4" s="981"/>
      <c r="G4" s="981"/>
      <c r="H4" s="981"/>
      <c r="I4" s="981"/>
      <c r="J4" s="981"/>
      <c r="K4" s="981"/>
      <c r="L4" s="991"/>
    </row>
    <row r="5" spans="1:12">
      <c r="A5" s="990"/>
      <c r="B5" s="981"/>
      <c r="C5" s="981"/>
      <c r="D5" s="981"/>
      <c r="E5" s="981"/>
      <c r="F5" s="981"/>
      <c r="G5" s="981"/>
      <c r="H5" s="981"/>
      <c r="I5" s="981"/>
      <c r="J5" s="981"/>
      <c r="K5" s="981"/>
      <c r="L5" s="991"/>
    </row>
    <row r="6" spans="1:12">
      <c r="A6" s="990"/>
      <c r="B6" s="981"/>
      <c r="C6" s="981"/>
      <c r="D6" s="981"/>
      <c r="E6" s="981"/>
      <c r="F6" s="981"/>
      <c r="G6" s="981"/>
      <c r="H6" s="981"/>
      <c r="I6" s="981"/>
      <c r="J6" s="981"/>
      <c r="K6" s="981"/>
      <c r="L6" s="991"/>
    </row>
    <row r="7" spans="1:12">
      <c r="A7" s="990"/>
      <c r="B7" s="981"/>
      <c r="C7" s="981"/>
      <c r="D7" s="981"/>
      <c r="E7" s="981"/>
      <c r="F7" s="981"/>
      <c r="G7" s="981"/>
      <c r="H7" s="981"/>
      <c r="I7" s="981"/>
      <c r="J7" s="981"/>
      <c r="K7" s="981"/>
      <c r="L7" s="991"/>
    </row>
    <row r="8" spans="1:12">
      <c r="A8" s="983"/>
      <c r="B8" s="984"/>
      <c r="C8" s="984"/>
      <c r="D8" s="984"/>
      <c r="E8" s="984"/>
      <c r="F8" s="984"/>
      <c r="G8" s="984"/>
      <c r="H8" s="984"/>
      <c r="I8" s="984"/>
      <c r="J8" s="984"/>
      <c r="K8" s="984"/>
      <c r="L8" s="985"/>
    </row>
    <row r="10" spans="1:12" s="2" customFormat="1">
      <c r="A10" s="325">
        <v>2</v>
      </c>
    </row>
    <row r="12" spans="1:12">
      <c r="A12" s="987" t="s">
        <v>352</v>
      </c>
      <c r="B12" s="988"/>
      <c r="C12" s="988"/>
      <c r="D12" s="988"/>
      <c r="E12" s="988"/>
      <c r="F12" s="988"/>
      <c r="G12" s="988"/>
      <c r="H12" s="988"/>
      <c r="I12" s="988"/>
      <c r="J12" s="988"/>
      <c r="K12" s="988"/>
      <c r="L12" s="989"/>
    </row>
    <row r="13" spans="1:12">
      <c r="A13" s="990"/>
      <c r="B13" s="981"/>
      <c r="C13" s="981"/>
      <c r="D13" s="981"/>
      <c r="E13" s="981"/>
      <c r="F13" s="981"/>
      <c r="G13" s="981"/>
      <c r="H13" s="981"/>
      <c r="I13" s="981"/>
      <c r="J13" s="981"/>
      <c r="K13" s="981"/>
      <c r="L13" s="991"/>
    </row>
    <row r="14" spans="1:12">
      <c r="A14" s="990"/>
      <c r="B14" s="981"/>
      <c r="C14" s="981"/>
      <c r="D14" s="981"/>
      <c r="E14" s="981"/>
      <c r="F14" s="981"/>
      <c r="G14" s="981"/>
      <c r="H14" s="981"/>
      <c r="I14" s="981"/>
      <c r="J14" s="981"/>
      <c r="K14" s="981"/>
      <c r="L14" s="991"/>
    </row>
    <row r="15" spans="1:12">
      <c r="A15" s="990"/>
      <c r="B15" s="981"/>
      <c r="C15" s="981"/>
      <c r="D15" s="981"/>
      <c r="E15" s="981"/>
      <c r="F15" s="981"/>
      <c r="G15" s="981"/>
      <c r="H15" s="981"/>
      <c r="I15" s="981"/>
      <c r="J15" s="981"/>
      <c r="K15" s="981"/>
      <c r="L15" s="991"/>
    </row>
    <row r="16" spans="1:12">
      <c r="A16" s="990"/>
      <c r="B16" s="981"/>
      <c r="C16" s="981"/>
      <c r="D16" s="981"/>
      <c r="E16" s="981"/>
      <c r="F16" s="981"/>
      <c r="G16" s="981"/>
      <c r="H16" s="981"/>
      <c r="I16" s="981"/>
      <c r="J16" s="981"/>
      <c r="K16" s="981"/>
      <c r="L16" s="991"/>
    </row>
    <row r="17" spans="1:12">
      <c r="A17" s="990"/>
      <c r="B17" s="981"/>
      <c r="C17" s="981"/>
      <c r="D17" s="981"/>
      <c r="E17" s="981"/>
      <c r="F17" s="981"/>
      <c r="G17" s="981"/>
      <c r="H17" s="981"/>
      <c r="I17" s="981"/>
      <c r="J17" s="981"/>
      <c r="K17" s="981"/>
      <c r="L17" s="991"/>
    </row>
    <row r="18" spans="1:12">
      <c r="A18" s="990"/>
      <c r="B18" s="981"/>
      <c r="C18" s="981"/>
      <c r="D18" s="981"/>
      <c r="E18" s="981"/>
      <c r="F18" s="981"/>
      <c r="G18" s="981"/>
      <c r="H18" s="981"/>
      <c r="I18" s="981"/>
      <c r="J18" s="981"/>
      <c r="K18" s="981"/>
      <c r="L18" s="991"/>
    </row>
    <row r="19" spans="1:12">
      <c r="A19" s="990"/>
      <c r="B19" s="981"/>
      <c r="C19" s="981"/>
      <c r="D19" s="981"/>
      <c r="E19" s="981"/>
      <c r="F19" s="981"/>
      <c r="G19" s="981"/>
      <c r="H19" s="981"/>
      <c r="I19" s="981"/>
      <c r="J19" s="981"/>
      <c r="K19" s="981"/>
      <c r="L19" s="991"/>
    </row>
    <row r="20" spans="1:12">
      <c r="A20" s="990"/>
      <c r="B20" s="981"/>
      <c r="C20" s="981"/>
      <c r="D20" s="981"/>
      <c r="E20" s="981"/>
      <c r="F20" s="981"/>
      <c r="G20" s="981"/>
      <c r="H20" s="981"/>
      <c r="I20" s="981"/>
      <c r="J20" s="981"/>
      <c r="K20" s="981"/>
      <c r="L20" s="991"/>
    </row>
    <row r="21" spans="1:12">
      <c r="A21" s="990"/>
      <c r="B21" s="981"/>
      <c r="C21" s="981"/>
      <c r="D21" s="981"/>
      <c r="E21" s="981"/>
      <c r="F21" s="981"/>
      <c r="G21" s="981"/>
      <c r="H21" s="981"/>
      <c r="I21" s="981"/>
      <c r="J21" s="981"/>
      <c r="K21" s="981"/>
      <c r="L21" s="991"/>
    </row>
    <row r="22" spans="1:12">
      <c r="A22" s="990"/>
      <c r="B22" s="981"/>
      <c r="C22" s="981"/>
      <c r="D22" s="981"/>
      <c r="E22" s="981"/>
      <c r="F22" s="981"/>
      <c r="G22" s="981"/>
      <c r="H22" s="981"/>
      <c r="I22" s="981"/>
      <c r="J22" s="981"/>
      <c r="K22" s="981"/>
      <c r="L22" s="991"/>
    </row>
    <row r="23" spans="1:12">
      <c r="A23" s="983"/>
      <c r="B23" s="984"/>
      <c r="C23" s="984"/>
      <c r="D23" s="984"/>
      <c r="E23" s="984"/>
      <c r="F23" s="984"/>
      <c r="G23" s="984"/>
      <c r="H23" s="984"/>
      <c r="I23" s="984"/>
      <c r="J23" s="984"/>
      <c r="K23" s="984"/>
      <c r="L23" s="985"/>
    </row>
    <row r="25" spans="1:12" s="2" customFormat="1">
      <c r="A25" s="325">
        <v>3</v>
      </c>
    </row>
    <row r="27" spans="1:12" ht="23.25">
      <c r="A27" s="326" t="s">
        <v>68</v>
      </c>
      <c r="B27" s="10"/>
      <c r="C27" s="10"/>
      <c r="D27" s="10"/>
      <c r="E27" s="10"/>
      <c r="F27" s="10"/>
      <c r="G27" s="10"/>
      <c r="H27" s="10"/>
      <c r="I27" s="10"/>
      <c r="J27" s="10"/>
      <c r="K27" s="10"/>
      <c r="L27" s="10"/>
    </row>
    <row r="28" spans="1:12" ht="15.75">
      <c r="A28" s="212"/>
      <c r="B28" s="212"/>
      <c r="C28" s="212"/>
      <c r="D28" s="212"/>
      <c r="E28" s="10"/>
      <c r="F28" s="10"/>
      <c r="G28" s="10"/>
      <c r="H28" s="10"/>
      <c r="I28" s="10"/>
      <c r="J28" s="10"/>
      <c r="K28" s="10"/>
      <c r="L28" s="10"/>
    </row>
    <row r="29" spans="1:12" ht="15.4">
      <c r="A29" s="327" t="s">
        <v>353</v>
      </c>
      <c r="H29" s="10"/>
      <c r="I29" s="10"/>
      <c r="J29" s="10"/>
      <c r="K29" s="10"/>
      <c r="L29" s="10"/>
    </row>
    <row r="30" spans="1:12" ht="15.4">
      <c r="A30" s="328"/>
      <c r="B30" s="329" t="s">
        <v>354</v>
      </c>
      <c r="C30" s="329">
        <v>2016</v>
      </c>
      <c r="D30" s="329">
        <v>2017</v>
      </c>
      <c r="E30" s="329">
        <v>2018</v>
      </c>
      <c r="F30" s="329">
        <v>2019</v>
      </c>
      <c r="G30" s="329">
        <v>2020</v>
      </c>
      <c r="H30" s="10"/>
      <c r="I30" s="10"/>
      <c r="J30" s="10"/>
      <c r="K30" s="10"/>
      <c r="L30" s="10"/>
    </row>
    <row r="31" spans="1:12" ht="15.75">
      <c r="A31" s="330"/>
      <c r="B31" s="331" t="s">
        <v>355</v>
      </c>
      <c r="C31" s="330">
        <v>7.1</v>
      </c>
      <c r="D31" s="330">
        <v>9.23</v>
      </c>
      <c r="E31" s="330">
        <v>9.08</v>
      </c>
      <c r="F31" s="330">
        <v>6.5</v>
      </c>
      <c r="G31" s="330">
        <v>7.2</v>
      </c>
      <c r="H31" s="10"/>
      <c r="I31" s="10"/>
      <c r="J31" s="10"/>
      <c r="K31" s="10"/>
      <c r="L31" s="10"/>
    </row>
    <row r="32" spans="1:12" ht="15.75">
      <c r="A32" s="330"/>
      <c r="B32" s="331" t="s">
        <v>356</v>
      </c>
      <c r="C32" s="332">
        <v>0.35</v>
      </c>
      <c r="D32" s="332">
        <v>0.35</v>
      </c>
      <c r="E32" s="332">
        <v>0.35</v>
      </c>
      <c r="F32" s="332">
        <v>0.35</v>
      </c>
      <c r="G32" s="333">
        <v>0.35</v>
      </c>
      <c r="H32" s="10"/>
      <c r="I32" s="10"/>
      <c r="J32" s="10"/>
      <c r="K32" s="10"/>
      <c r="L32" s="10"/>
    </row>
    <row r="33" spans="1:12" ht="15.75">
      <c r="A33" s="330"/>
      <c r="B33" s="331" t="s">
        <v>357</v>
      </c>
      <c r="C33" s="332">
        <v>0.09</v>
      </c>
      <c r="D33" s="332">
        <v>0.12</v>
      </c>
      <c r="E33" s="332">
        <v>0.2</v>
      </c>
      <c r="F33" s="332">
        <v>0.1</v>
      </c>
      <c r="G33" s="332">
        <v>0.1</v>
      </c>
      <c r="H33" s="10"/>
      <c r="I33" s="10"/>
      <c r="J33" s="10"/>
      <c r="K33" s="10"/>
      <c r="L33" s="10"/>
    </row>
    <row r="34" spans="1:12" ht="15.75">
      <c r="A34" s="212"/>
      <c r="B34" s="212"/>
      <c r="C34" s="212"/>
      <c r="D34" s="212"/>
      <c r="E34" s="10"/>
      <c r="F34" s="10"/>
      <c r="G34" s="10"/>
      <c r="H34" s="10"/>
      <c r="I34" s="10"/>
      <c r="J34" s="10"/>
      <c r="K34" s="10"/>
      <c r="L34" s="10"/>
    </row>
    <row r="35" spans="1:12" ht="23.25">
      <c r="A35" s="334" t="s">
        <v>358</v>
      </c>
      <c r="B35" s="212"/>
      <c r="C35" s="212"/>
      <c r="D35" s="212"/>
      <c r="E35" s="10"/>
      <c r="F35" s="10"/>
      <c r="G35" s="10"/>
      <c r="H35" s="10"/>
      <c r="I35" s="10"/>
      <c r="J35" s="10"/>
      <c r="K35" s="10"/>
      <c r="L35" s="10"/>
    </row>
    <row r="36" spans="1:12" ht="15.75">
      <c r="A36" s="10"/>
      <c r="B36" s="10"/>
      <c r="C36" s="212"/>
      <c r="D36" s="212"/>
      <c r="E36" s="10"/>
      <c r="F36" s="10"/>
      <c r="G36" s="10"/>
      <c r="H36" s="10"/>
      <c r="I36" s="10"/>
      <c r="J36" s="10"/>
      <c r="K36" s="10"/>
      <c r="L36" s="10"/>
    </row>
    <row r="37" spans="1:12" ht="15.75">
      <c r="A37" s="273" t="s">
        <v>359</v>
      </c>
      <c r="B37" s="335" t="s">
        <v>360</v>
      </c>
      <c r="C37" s="212"/>
      <c r="D37" s="212"/>
      <c r="E37" s="10"/>
      <c r="F37" s="10"/>
      <c r="G37" s="10"/>
      <c r="H37" s="10"/>
      <c r="I37" s="10"/>
      <c r="J37" s="10"/>
      <c r="K37" s="10"/>
      <c r="L37" s="10"/>
    </row>
    <row r="38" spans="1:12" ht="15.75">
      <c r="A38" s="336" t="s">
        <v>361</v>
      </c>
      <c r="B38" s="337">
        <v>0.01</v>
      </c>
      <c r="C38" s="212"/>
      <c r="D38" s="212"/>
      <c r="E38" s="10"/>
      <c r="F38" s="10"/>
      <c r="G38" s="10"/>
      <c r="H38" s="10"/>
      <c r="I38" s="10"/>
      <c r="J38" s="10"/>
      <c r="K38" s="10"/>
      <c r="L38" s="10"/>
    </row>
    <row r="39" spans="1:12" ht="15.75">
      <c r="A39" s="336" t="s">
        <v>362</v>
      </c>
      <c r="B39" s="338">
        <v>7.1999999999999995E-2</v>
      </c>
      <c r="C39" s="212"/>
      <c r="D39" s="212"/>
      <c r="E39" s="10"/>
      <c r="F39" s="10"/>
      <c r="G39" s="10"/>
      <c r="H39" s="10"/>
      <c r="I39" s="10"/>
      <c r="J39" s="10"/>
      <c r="K39" s="10"/>
      <c r="L39" s="10"/>
    </row>
    <row r="40" spans="1:12" ht="15.75">
      <c r="A40" s="336" t="s">
        <v>363</v>
      </c>
      <c r="B40" s="337">
        <v>0.15</v>
      </c>
      <c r="C40" s="212"/>
      <c r="D40" s="212"/>
      <c r="E40" s="10"/>
      <c r="F40" s="10"/>
      <c r="G40" s="10"/>
      <c r="H40" s="10"/>
      <c r="I40" s="10"/>
      <c r="J40" s="10"/>
      <c r="K40" s="10"/>
      <c r="L40" s="10"/>
    </row>
    <row r="41" spans="1:12" ht="15.75">
      <c r="A41" s="336" t="s">
        <v>364</v>
      </c>
      <c r="B41" s="337">
        <v>0.11</v>
      </c>
      <c r="C41" s="212"/>
      <c r="D41" s="212"/>
      <c r="E41" s="10"/>
      <c r="F41" s="10"/>
      <c r="G41" s="10"/>
      <c r="H41" s="10"/>
      <c r="I41" s="10"/>
      <c r="J41" s="10"/>
      <c r="K41" s="10"/>
      <c r="L41" s="10"/>
    </row>
    <row r="42" spans="1:12" ht="15.75">
      <c r="A42" s="212"/>
      <c r="B42" s="212"/>
      <c r="C42" s="212"/>
      <c r="D42" s="212"/>
      <c r="E42" s="10"/>
      <c r="F42" s="10"/>
      <c r="G42" s="10"/>
      <c r="H42" s="10"/>
      <c r="I42" s="10"/>
      <c r="J42" s="10"/>
      <c r="K42" s="10"/>
      <c r="L42" s="10"/>
    </row>
    <row r="43" spans="1:12">
      <c r="A43" s="10"/>
      <c r="B43" s="10"/>
      <c r="C43" s="10"/>
      <c r="D43" s="10"/>
      <c r="E43" s="10"/>
      <c r="F43" s="10"/>
      <c r="G43" s="10"/>
      <c r="H43" s="10"/>
      <c r="I43" s="10"/>
      <c r="J43" s="10"/>
      <c r="K43" s="10"/>
      <c r="L43" s="10"/>
    </row>
    <row r="44" spans="1:12">
      <c r="A44" s="10"/>
      <c r="B44" s="10"/>
      <c r="C44" s="10"/>
      <c r="D44" s="10"/>
      <c r="E44" s="10"/>
      <c r="F44" s="10"/>
      <c r="G44" s="10"/>
      <c r="H44" s="10"/>
      <c r="I44" s="10"/>
      <c r="J44" s="10"/>
      <c r="K44" s="10"/>
      <c r="L44" s="10"/>
    </row>
    <row r="45" spans="1:12">
      <c r="A45" s="1153" t="s">
        <v>365</v>
      </c>
      <c r="B45" s="1154"/>
      <c r="C45" s="1154"/>
      <c r="D45" s="1154"/>
      <c r="E45" s="1154"/>
      <c r="F45" s="1154"/>
      <c r="G45" s="1154"/>
      <c r="H45" s="1154"/>
      <c r="I45" s="1154"/>
      <c r="J45" s="1154"/>
      <c r="K45" s="1154"/>
      <c r="L45" s="1155"/>
    </row>
    <row r="46" spans="1:12">
      <c r="A46" s="1156"/>
      <c r="B46" s="1157"/>
      <c r="C46" s="1157"/>
      <c r="D46" s="1157"/>
      <c r="E46" s="1157"/>
      <c r="F46" s="1157"/>
      <c r="G46" s="1157"/>
      <c r="H46" s="1157"/>
      <c r="I46" s="1157"/>
      <c r="J46" s="1157"/>
      <c r="K46" s="1157"/>
      <c r="L46" s="1158"/>
    </row>
    <row r="47" spans="1:12">
      <c r="A47" s="1156"/>
      <c r="B47" s="1157"/>
      <c r="C47" s="1157"/>
      <c r="D47" s="1157"/>
      <c r="E47" s="1157"/>
      <c r="F47" s="1157"/>
      <c r="G47" s="1157"/>
      <c r="H47" s="1157"/>
      <c r="I47" s="1157"/>
      <c r="J47" s="1157"/>
      <c r="K47" s="1157"/>
      <c r="L47" s="1158"/>
    </row>
    <row r="48" spans="1:12">
      <c r="A48" s="1156"/>
      <c r="B48" s="1157"/>
      <c r="C48" s="1157"/>
      <c r="D48" s="1157"/>
      <c r="E48" s="1157"/>
      <c r="F48" s="1157"/>
      <c r="G48" s="1157"/>
      <c r="H48" s="1157"/>
      <c r="I48" s="1157"/>
      <c r="J48" s="1157"/>
      <c r="K48" s="1157"/>
      <c r="L48" s="1158"/>
    </row>
    <row r="49" spans="1:12">
      <c r="A49" s="1159"/>
      <c r="B49" s="1160"/>
      <c r="C49" s="1160"/>
      <c r="D49" s="1160"/>
      <c r="E49" s="1160"/>
      <c r="F49" s="1160"/>
      <c r="G49" s="1160"/>
      <c r="H49" s="1160"/>
      <c r="I49" s="1160"/>
      <c r="J49" s="1160"/>
      <c r="K49" s="1160"/>
      <c r="L49" s="1161"/>
    </row>
    <row r="51" spans="1:12" s="2" customFormat="1">
      <c r="A51" s="325">
        <v>4</v>
      </c>
    </row>
    <row r="53" spans="1:12">
      <c r="A53" s="1162" t="s">
        <v>366</v>
      </c>
      <c r="B53" s="1162"/>
      <c r="C53" s="1162"/>
      <c r="D53" s="1162"/>
      <c r="E53" s="1162"/>
      <c r="F53" s="1162"/>
      <c r="G53" s="1162"/>
      <c r="H53" s="1162"/>
      <c r="I53" s="1162"/>
      <c r="J53" s="1162"/>
      <c r="K53" s="1162"/>
      <c r="L53" s="1162"/>
    </row>
    <row r="54" spans="1:12">
      <c r="A54" s="191" t="s">
        <v>367</v>
      </c>
      <c r="B54" s="339"/>
      <c r="C54" s="339"/>
      <c r="D54" s="339"/>
      <c r="E54" s="339"/>
      <c r="F54" s="339"/>
      <c r="G54" s="339"/>
      <c r="H54" s="339"/>
      <c r="I54" s="339"/>
      <c r="J54" s="339"/>
      <c r="K54" s="339"/>
      <c r="L54" s="339"/>
    </row>
    <row r="56" spans="1:12" s="2" customFormat="1">
      <c r="A56" s="325">
        <v>5</v>
      </c>
    </row>
    <row r="58" spans="1:12" ht="21">
      <c r="A58" s="340" t="s">
        <v>368</v>
      </c>
      <c r="B58" s="340">
        <v>0</v>
      </c>
      <c r="C58" s="340">
        <v>1</v>
      </c>
      <c r="D58" s="340">
        <v>2</v>
      </c>
      <c r="E58" s="340">
        <v>3</v>
      </c>
      <c r="F58" s="10"/>
      <c r="G58" s="10"/>
      <c r="H58" s="10"/>
      <c r="I58" s="10"/>
      <c r="J58" s="10"/>
      <c r="K58" s="10"/>
      <c r="L58" s="10"/>
    </row>
    <row r="59" spans="1:12" ht="21">
      <c r="A59" s="341" t="s">
        <v>369</v>
      </c>
      <c r="B59" s="342">
        <v>-420000</v>
      </c>
      <c r="C59" s="342">
        <v>80000</v>
      </c>
      <c r="D59" s="342">
        <v>240000</v>
      </c>
      <c r="E59" s="342">
        <v>500000</v>
      </c>
      <c r="F59" s="10"/>
      <c r="G59" s="10"/>
      <c r="H59" s="10"/>
      <c r="I59" s="10"/>
      <c r="J59" s="10"/>
      <c r="K59" s="10"/>
      <c r="L59" s="10"/>
    </row>
    <row r="60" spans="1:12">
      <c r="A60" s="10"/>
      <c r="B60" s="10"/>
      <c r="C60" s="10"/>
      <c r="D60" s="10"/>
      <c r="E60" s="10"/>
      <c r="F60" s="10"/>
      <c r="G60" s="10"/>
      <c r="H60" s="10"/>
      <c r="I60" s="10"/>
      <c r="J60" s="10"/>
      <c r="K60" s="10"/>
      <c r="L60" s="10"/>
    </row>
    <row r="61" spans="1:12">
      <c r="A61" s="10"/>
      <c r="B61" s="10"/>
      <c r="C61" s="10"/>
      <c r="D61" s="10"/>
      <c r="E61" s="10"/>
      <c r="F61" s="10"/>
      <c r="G61" s="10"/>
      <c r="H61" s="10"/>
      <c r="I61" s="10"/>
      <c r="J61" s="10"/>
      <c r="K61" s="10"/>
      <c r="L61" s="10"/>
    </row>
    <row r="62" spans="1:12">
      <c r="A62" s="1162" t="s">
        <v>370</v>
      </c>
      <c r="B62" s="1162"/>
      <c r="C62" s="1162"/>
      <c r="D62" s="1162"/>
      <c r="E62" s="1162"/>
      <c r="F62" s="1162"/>
      <c r="G62" s="1162"/>
      <c r="H62" s="1162"/>
      <c r="I62" s="1162"/>
      <c r="J62" s="1162"/>
      <c r="K62" s="1162"/>
      <c r="L62" s="1162"/>
    </row>
    <row r="63" spans="1:12">
      <c r="A63" s="191" t="s">
        <v>371</v>
      </c>
      <c r="B63" s="339"/>
      <c r="C63" s="339"/>
      <c r="D63" s="339"/>
      <c r="E63" s="339"/>
      <c r="F63" s="339"/>
      <c r="G63" s="339"/>
      <c r="H63" s="339"/>
      <c r="I63" s="339"/>
      <c r="J63" s="339"/>
      <c r="K63" s="339"/>
      <c r="L63" s="339"/>
    </row>
    <row r="65" spans="1:12" s="2" customFormat="1">
      <c r="A65" s="325">
        <v>6</v>
      </c>
    </row>
    <row r="67" spans="1:12" ht="67.150000000000006" customHeight="1">
      <c r="A67" s="1152" t="s">
        <v>372</v>
      </c>
      <c r="B67" s="1152"/>
      <c r="C67" s="1152"/>
      <c r="D67" s="1152"/>
      <c r="E67" s="1152"/>
      <c r="F67" s="1152"/>
      <c r="G67" s="1152"/>
      <c r="H67" s="1152"/>
      <c r="I67" s="1152"/>
      <c r="J67" s="1152"/>
      <c r="K67" s="1152"/>
      <c r="L67" s="1152"/>
    </row>
    <row r="68" spans="1:12" ht="15.75">
      <c r="A68" s="1034" t="s">
        <v>373</v>
      </c>
      <c r="B68" s="1034"/>
      <c r="C68" s="1034"/>
      <c r="D68" s="1034"/>
      <c r="E68" s="1034"/>
      <c r="F68" s="1034"/>
      <c r="G68" s="1034"/>
      <c r="H68" s="1034"/>
      <c r="I68" s="1034"/>
      <c r="J68" s="1034"/>
      <c r="K68" s="1034"/>
      <c r="L68" s="1034"/>
    </row>
    <row r="69" spans="1:12" ht="16.149999999999999" thickBot="1">
      <c r="A69" s="1163" t="s">
        <v>374</v>
      </c>
      <c r="B69" s="1163"/>
      <c r="C69" s="1163"/>
      <c r="D69" s="1163"/>
      <c r="E69" s="1163"/>
      <c r="F69" s="1163"/>
      <c r="G69" s="1163"/>
      <c r="H69" s="1163"/>
      <c r="I69" s="1163"/>
      <c r="J69" s="1163"/>
      <c r="K69" s="1163"/>
      <c r="L69" s="1163"/>
    </row>
    <row r="71" spans="1:12" s="2" customFormat="1">
      <c r="A71" s="325">
        <v>7</v>
      </c>
    </row>
    <row r="73" spans="1:12" ht="15.75">
      <c r="A73" s="1034" t="s">
        <v>375</v>
      </c>
      <c r="B73" s="1034"/>
      <c r="C73" s="1034"/>
      <c r="D73" s="1034"/>
      <c r="E73" s="1034"/>
      <c r="F73" s="1034"/>
      <c r="G73" s="1034"/>
      <c r="H73" s="1034"/>
      <c r="I73" s="1034"/>
      <c r="J73" s="1034"/>
      <c r="K73" s="1034"/>
      <c r="L73" s="1034"/>
    </row>
    <row r="74" spans="1:12" ht="15.75">
      <c r="A74" s="1034" t="s">
        <v>376</v>
      </c>
      <c r="B74" s="1034"/>
      <c r="C74" s="1034"/>
      <c r="D74" s="1034"/>
      <c r="E74" s="1034"/>
      <c r="F74" s="1034"/>
      <c r="G74" s="1034"/>
      <c r="H74" s="1034"/>
      <c r="I74" s="1034"/>
      <c r="J74" s="1034"/>
      <c r="K74" s="1034"/>
      <c r="L74" s="1034"/>
    </row>
    <row r="75" spans="1:12" ht="15.75">
      <c r="A75" s="1061" t="s">
        <v>377</v>
      </c>
      <c r="B75" s="1061"/>
      <c r="C75" s="1061"/>
      <c r="D75" s="1061"/>
      <c r="E75" s="1061"/>
      <c r="F75" s="1061"/>
      <c r="G75" s="1061"/>
      <c r="H75" s="1061"/>
      <c r="I75" s="1061"/>
      <c r="J75" s="1061"/>
      <c r="K75" s="1061"/>
      <c r="L75" s="1061"/>
    </row>
    <row r="77" spans="1:12" s="2" customFormat="1">
      <c r="A77" s="325">
        <v>8</v>
      </c>
    </row>
    <row r="79" spans="1:12">
      <c r="A79" s="1001" t="s">
        <v>378</v>
      </c>
      <c r="B79" s="964"/>
      <c r="C79" s="964"/>
      <c r="D79" s="964"/>
      <c r="E79" s="964"/>
      <c r="F79" s="964"/>
      <c r="G79" s="964"/>
      <c r="H79" s="964"/>
      <c r="I79" s="964"/>
      <c r="J79" s="964"/>
      <c r="K79" s="964"/>
      <c r="L79" s="965"/>
    </row>
    <row r="80" spans="1:12">
      <c r="A80" s="966"/>
      <c r="B80" s="967"/>
      <c r="C80" s="967"/>
      <c r="D80" s="967"/>
      <c r="E80" s="967"/>
      <c r="F80" s="967"/>
      <c r="G80" s="967"/>
      <c r="H80" s="967"/>
      <c r="I80" s="967"/>
      <c r="J80" s="967"/>
      <c r="K80" s="967"/>
      <c r="L80" s="968"/>
    </row>
    <row r="81" spans="1:12">
      <c r="A81" s="966"/>
      <c r="B81" s="967"/>
      <c r="C81" s="967"/>
      <c r="D81" s="967"/>
      <c r="E81" s="967"/>
      <c r="F81" s="967"/>
      <c r="G81" s="967"/>
      <c r="H81" s="967"/>
      <c r="I81" s="967"/>
      <c r="J81" s="967"/>
      <c r="K81" s="967"/>
      <c r="L81" s="968"/>
    </row>
    <row r="82" spans="1:12">
      <c r="A82" s="966"/>
      <c r="B82" s="967"/>
      <c r="C82" s="967"/>
      <c r="D82" s="967"/>
      <c r="E82" s="967"/>
      <c r="F82" s="967"/>
      <c r="G82" s="967"/>
      <c r="H82" s="967"/>
      <c r="I82" s="967"/>
      <c r="J82" s="967"/>
      <c r="K82" s="967"/>
      <c r="L82" s="968"/>
    </row>
    <row r="83" spans="1:12">
      <c r="A83" s="966"/>
      <c r="B83" s="967"/>
      <c r="C83" s="967"/>
      <c r="D83" s="967"/>
      <c r="E83" s="967"/>
      <c r="F83" s="967"/>
      <c r="G83" s="967"/>
      <c r="H83" s="967"/>
      <c r="I83" s="967"/>
      <c r="J83" s="967"/>
      <c r="K83" s="967"/>
      <c r="L83" s="968"/>
    </row>
    <row r="84" spans="1:12">
      <c r="A84" s="966"/>
      <c r="B84" s="967"/>
      <c r="C84" s="967"/>
      <c r="D84" s="967"/>
      <c r="E84" s="967"/>
      <c r="F84" s="967"/>
      <c r="G84" s="967"/>
      <c r="H84" s="967"/>
      <c r="I84" s="967"/>
      <c r="J84" s="967"/>
      <c r="K84" s="967"/>
      <c r="L84" s="968"/>
    </row>
    <row r="85" spans="1:12" ht="43.5" customHeight="1">
      <c r="A85" s="966"/>
      <c r="B85" s="967"/>
      <c r="C85" s="967"/>
      <c r="D85" s="967"/>
      <c r="E85" s="967"/>
      <c r="F85" s="967"/>
      <c r="G85" s="967"/>
      <c r="H85" s="967"/>
      <c r="I85" s="967"/>
      <c r="J85" s="967"/>
      <c r="K85" s="967"/>
      <c r="L85" s="968"/>
    </row>
    <row r="86" spans="1:12" s="2" customFormat="1">
      <c r="A86" s="325">
        <v>9</v>
      </c>
    </row>
    <row r="88" spans="1:12">
      <c r="A88" s="1126" t="s">
        <v>379</v>
      </c>
      <c r="B88" s="1002"/>
      <c r="C88" s="1002"/>
      <c r="D88" s="1002"/>
      <c r="E88" s="1002"/>
      <c r="F88" s="1002"/>
      <c r="G88" s="1002"/>
      <c r="H88" s="1002"/>
      <c r="I88" s="1002"/>
      <c r="J88" s="1002"/>
      <c r="K88" s="1002"/>
      <c r="L88" s="1003"/>
    </row>
    <row r="89" spans="1:12">
      <c r="A89" s="1004"/>
      <c r="B89" s="1005"/>
      <c r="C89" s="1005"/>
      <c r="D89" s="1005"/>
      <c r="E89" s="1005"/>
      <c r="F89" s="1005"/>
      <c r="G89" s="1005"/>
      <c r="H89" s="1005"/>
      <c r="I89" s="1005"/>
      <c r="J89" s="1005"/>
      <c r="K89" s="1005"/>
      <c r="L89" s="1006"/>
    </row>
    <row r="90" spans="1:12">
      <c r="A90" s="1004"/>
      <c r="B90" s="1005"/>
      <c r="C90" s="1005"/>
      <c r="D90" s="1005"/>
      <c r="E90" s="1005"/>
      <c r="F90" s="1005"/>
      <c r="G90" s="1005"/>
      <c r="H90" s="1005"/>
      <c r="I90" s="1005"/>
      <c r="J90" s="1005"/>
      <c r="K90" s="1005"/>
      <c r="L90" s="1006"/>
    </row>
    <row r="91" spans="1:12">
      <c r="A91" s="1004"/>
      <c r="B91" s="1005"/>
      <c r="C91" s="1005"/>
      <c r="D91" s="1005"/>
      <c r="E91" s="1005"/>
      <c r="F91" s="1005"/>
      <c r="G91" s="1005"/>
      <c r="H91" s="1005"/>
      <c r="I91" s="1005"/>
      <c r="J91" s="1005"/>
      <c r="K91" s="1005"/>
      <c r="L91" s="1006"/>
    </row>
    <row r="92" spans="1:12">
      <c r="A92" s="1004"/>
      <c r="B92" s="1005"/>
      <c r="C92" s="1005"/>
      <c r="D92" s="1005"/>
      <c r="E92" s="1005"/>
      <c r="F92" s="1005"/>
      <c r="G92" s="1005"/>
      <c r="H92" s="1005"/>
      <c r="I92" s="1005"/>
      <c r="J92" s="1005"/>
      <c r="K92" s="1005"/>
      <c r="L92" s="1006"/>
    </row>
    <row r="93" spans="1:12" ht="38.65" customHeight="1">
      <c r="A93" s="1007"/>
      <c r="B93" s="1008"/>
      <c r="C93" s="1008"/>
      <c r="D93" s="1008"/>
      <c r="E93" s="1008"/>
      <c r="F93" s="1008"/>
      <c r="G93" s="1008"/>
      <c r="H93" s="1008"/>
      <c r="I93" s="1008"/>
      <c r="J93" s="1008"/>
      <c r="K93" s="1008"/>
      <c r="L93" s="1009"/>
    </row>
    <row r="95" spans="1:12" s="2" customFormat="1">
      <c r="A95" s="325">
        <v>10</v>
      </c>
    </row>
    <row r="97" spans="1:12">
      <c r="A97" s="987" t="s">
        <v>380</v>
      </c>
      <c r="B97" s="1080"/>
      <c r="C97" s="1080"/>
      <c r="D97" s="1080"/>
      <c r="E97" s="1080"/>
      <c r="F97" s="1080"/>
      <c r="G97" s="1080"/>
      <c r="H97" s="1080"/>
      <c r="I97" s="1080"/>
      <c r="J97" s="1080"/>
      <c r="K97" s="1080"/>
      <c r="L97" s="1081"/>
    </row>
    <row r="98" spans="1:12">
      <c r="A98" s="1082"/>
      <c r="B98" s="1083"/>
      <c r="C98" s="1083"/>
      <c r="D98" s="1083"/>
      <c r="E98" s="1083"/>
      <c r="F98" s="1083"/>
      <c r="G98" s="1083"/>
      <c r="H98" s="1083"/>
      <c r="I98" s="1083"/>
      <c r="J98" s="1083"/>
      <c r="K98" s="1083"/>
      <c r="L98" s="1084"/>
    </row>
    <row r="99" spans="1:12">
      <c r="A99" s="1082"/>
      <c r="B99" s="1083"/>
      <c r="C99" s="1083"/>
      <c r="D99" s="1083"/>
      <c r="E99" s="1083"/>
      <c r="F99" s="1083"/>
      <c r="G99" s="1083"/>
      <c r="H99" s="1083"/>
      <c r="I99" s="1083"/>
      <c r="J99" s="1083"/>
      <c r="K99" s="1083"/>
      <c r="L99" s="1084"/>
    </row>
    <row r="100" spans="1:12">
      <c r="A100" s="1082"/>
      <c r="B100" s="1083"/>
      <c r="C100" s="1083"/>
      <c r="D100" s="1083"/>
      <c r="E100" s="1083"/>
      <c r="F100" s="1083"/>
      <c r="G100" s="1083"/>
      <c r="H100" s="1083"/>
      <c r="I100" s="1083"/>
      <c r="J100" s="1083"/>
      <c r="K100" s="1083"/>
      <c r="L100" s="1084"/>
    </row>
    <row r="101" spans="1:12">
      <c r="A101" s="1082"/>
      <c r="B101" s="1083"/>
      <c r="C101" s="1083"/>
      <c r="D101" s="1083"/>
      <c r="E101" s="1083"/>
      <c r="F101" s="1083"/>
      <c r="G101" s="1083"/>
      <c r="H101" s="1083"/>
      <c r="I101" s="1083"/>
      <c r="J101" s="1083"/>
      <c r="K101" s="1083"/>
      <c r="L101" s="1084"/>
    </row>
    <row r="102" spans="1:12">
      <c r="A102" s="1082"/>
      <c r="B102" s="1083"/>
      <c r="C102" s="1083"/>
      <c r="D102" s="1083"/>
      <c r="E102" s="1083"/>
      <c r="F102" s="1083"/>
      <c r="G102" s="1083"/>
      <c r="H102" s="1083"/>
      <c r="I102" s="1083"/>
      <c r="J102" s="1083"/>
      <c r="K102" s="1083"/>
      <c r="L102" s="1084"/>
    </row>
    <row r="103" spans="1:12">
      <c r="A103" s="1082"/>
      <c r="B103" s="1083"/>
      <c r="C103" s="1083"/>
      <c r="D103" s="1083"/>
      <c r="E103" s="1083"/>
      <c r="F103" s="1083"/>
      <c r="G103" s="1083"/>
      <c r="H103" s="1083"/>
      <c r="I103" s="1083"/>
      <c r="J103" s="1083"/>
      <c r="K103" s="1083"/>
      <c r="L103" s="1084"/>
    </row>
    <row r="104" spans="1:12">
      <c r="A104" s="1082"/>
      <c r="B104" s="1083"/>
      <c r="C104" s="1083"/>
      <c r="D104" s="1083"/>
      <c r="E104" s="1083"/>
      <c r="F104" s="1083"/>
      <c r="G104" s="1083"/>
      <c r="H104" s="1083"/>
      <c r="I104" s="1083"/>
      <c r="J104" s="1083"/>
      <c r="K104" s="1083"/>
      <c r="L104" s="1084"/>
    </row>
    <row r="105" spans="1:12">
      <c r="A105" s="1082"/>
      <c r="B105" s="1083"/>
      <c r="C105" s="1083"/>
      <c r="D105" s="1083"/>
      <c r="E105" s="1083"/>
      <c r="F105" s="1083"/>
      <c r="G105" s="1083"/>
      <c r="H105" s="1083"/>
      <c r="I105" s="1083"/>
      <c r="J105" s="1083"/>
      <c r="K105" s="1083"/>
      <c r="L105" s="1084"/>
    </row>
    <row r="106" spans="1:12">
      <c r="A106" s="1082"/>
      <c r="B106" s="1083"/>
      <c r="C106" s="1083"/>
      <c r="D106" s="1083"/>
      <c r="E106" s="1083"/>
      <c r="F106" s="1083"/>
      <c r="G106" s="1083"/>
      <c r="H106" s="1083"/>
      <c r="I106" s="1083"/>
      <c r="J106" s="1083"/>
      <c r="K106" s="1083"/>
      <c r="L106" s="1084"/>
    </row>
    <row r="107" spans="1:12">
      <c r="A107" s="1082"/>
      <c r="B107" s="1083"/>
      <c r="C107" s="1083"/>
      <c r="D107" s="1083"/>
      <c r="E107" s="1083"/>
      <c r="F107" s="1083"/>
      <c r="G107" s="1083"/>
      <c r="H107" s="1083"/>
      <c r="I107" s="1083"/>
      <c r="J107" s="1083"/>
      <c r="K107" s="1083"/>
      <c r="L107" s="1084"/>
    </row>
    <row r="108" spans="1:12">
      <c r="A108" s="1085"/>
      <c r="B108" s="1086"/>
      <c r="C108" s="1086"/>
      <c r="D108" s="1086"/>
      <c r="E108" s="1086"/>
      <c r="F108" s="1086"/>
      <c r="G108" s="1086"/>
      <c r="H108" s="1086"/>
      <c r="I108" s="1086"/>
      <c r="J108" s="1086"/>
      <c r="K108" s="1086"/>
      <c r="L108" s="1087"/>
    </row>
    <row r="110" spans="1:12" s="2" customFormat="1">
      <c r="A110" s="325">
        <v>11</v>
      </c>
    </row>
    <row r="112" spans="1:12" ht="21">
      <c r="A112" s="343" t="s">
        <v>381</v>
      </c>
      <c r="B112" s="343"/>
      <c r="C112" s="343"/>
      <c r="D112" s="10"/>
      <c r="E112" s="10"/>
      <c r="F112" s="10"/>
      <c r="G112" s="10"/>
      <c r="H112" s="10"/>
      <c r="I112" s="10"/>
      <c r="J112" s="10"/>
      <c r="K112" s="10"/>
      <c r="L112" s="10"/>
    </row>
    <row r="113" spans="1:12" ht="21">
      <c r="A113" s="344" t="s">
        <v>382</v>
      </c>
      <c r="B113" s="345" t="s">
        <v>130</v>
      </c>
      <c r="C113" s="345" t="s">
        <v>131</v>
      </c>
      <c r="D113" s="10"/>
      <c r="E113" s="10"/>
      <c r="F113" s="10"/>
      <c r="G113" s="10"/>
      <c r="H113" s="10"/>
      <c r="I113" s="10"/>
      <c r="J113" s="10"/>
      <c r="K113" s="10"/>
      <c r="L113" s="10"/>
    </row>
    <row r="114" spans="1:12" ht="21">
      <c r="A114" s="341" t="s">
        <v>383</v>
      </c>
      <c r="B114" s="346">
        <v>500000</v>
      </c>
      <c r="C114" s="346">
        <v>120000</v>
      </c>
      <c r="D114" s="10"/>
      <c r="E114" s="10"/>
      <c r="F114" s="10"/>
      <c r="G114" s="10"/>
      <c r="H114" s="10"/>
      <c r="I114" s="10"/>
      <c r="J114" s="10"/>
      <c r="K114" s="10"/>
      <c r="L114" s="10"/>
    </row>
    <row r="115" spans="1:12" ht="21">
      <c r="A115" s="341" t="s">
        <v>384</v>
      </c>
      <c r="B115" s="341">
        <v>1.5</v>
      </c>
      <c r="C115" s="341">
        <v>4</v>
      </c>
      <c r="D115" s="10"/>
      <c r="E115" s="10"/>
      <c r="F115" s="10"/>
      <c r="G115" s="10"/>
      <c r="H115" s="10"/>
      <c r="I115" s="10"/>
      <c r="J115" s="10"/>
      <c r="K115" s="10"/>
      <c r="L115" s="10"/>
    </row>
    <row r="116" spans="1:12">
      <c r="A116" s="10"/>
      <c r="B116" s="10"/>
      <c r="C116" s="10"/>
      <c r="D116" s="10"/>
      <c r="E116" s="10"/>
      <c r="F116" s="10"/>
      <c r="G116" s="10"/>
      <c r="H116" s="10"/>
      <c r="I116" s="10"/>
      <c r="J116" s="10"/>
      <c r="K116" s="10"/>
      <c r="L116" s="10"/>
    </row>
    <row r="117" spans="1:12">
      <c r="A117" s="10"/>
      <c r="B117" s="10"/>
      <c r="C117" s="10"/>
      <c r="D117" s="10"/>
      <c r="E117" s="10"/>
      <c r="F117" s="10"/>
      <c r="G117" s="10"/>
      <c r="H117" s="10"/>
      <c r="I117" s="10"/>
      <c r="J117" s="10"/>
      <c r="K117" s="10"/>
      <c r="L117" s="10"/>
    </row>
    <row r="118" spans="1:12">
      <c r="A118" s="987" t="s">
        <v>385</v>
      </c>
      <c r="B118" s="988"/>
      <c r="C118" s="988"/>
      <c r="D118" s="988"/>
      <c r="E118" s="988"/>
      <c r="F118" s="988"/>
      <c r="G118" s="988"/>
      <c r="H118" s="988"/>
      <c r="I118" s="988"/>
      <c r="J118" s="988"/>
      <c r="K118" s="988"/>
      <c r="L118" s="989"/>
    </row>
    <row r="119" spans="1:12">
      <c r="A119" s="990"/>
      <c r="B119" s="981"/>
      <c r="C119" s="981"/>
      <c r="D119" s="981"/>
      <c r="E119" s="981"/>
      <c r="F119" s="981"/>
      <c r="G119" s="981"/>
      <c r="H119" s="981"/>
      <c r="I119" s="981"/>
      <c r="J119" s="981"/>
      <c r="K119" s="981"/>
      <c r="L119" s="991"/>
    </row>
    <row r="120" spans="1:12">
      <c r="A120" s="990"/>
      <c r="B120" s="981"/>
      <c r="C120" s="981"/>
      <c r="D120" s="981"/>
      <c r="E120" s="981"/>
      <c r="F120" s="981"/>
      <c r="G120" s="981"/>
      <c r="H120" s="981"/>
      <c r="I120" s="981"/>
      <c r="J120" s="981"/>
      <c r="K120" s="981"/>
      <c r="L120" s="991"/>
    </row>
    <row r="121" spans="1:12">
      <c r="A121" s="983"/>
      <c r="B121" s="984"/>
      <c r="C121" s="984"/>
      <c r="D121" s="984"/>
      <c r="E121" s="984"/>
      <c r="F121" s="984"/>
      <c r="G121" s="984"/>
      <c r="H121" s="984"/>
      <c r="I121" s="984"/>
      <c r="J121" s="984"/>
      <c r="K121" s="984"/>
      <c r="L121" s="985"/>
    </row>
    <row r="123" spans="1:12" s="2" customFormat="1">
      <c r="A123" s="325">
        <v>12</v>
      </c>
    </row>
    <row r="125" spans="1:12" ht="14.65" customHeight="1">
      <c r="A125" s="988" t="s">
        <v>386</v>
      </c>
      <c r="B125" s="988"/>
      <c r="C125" s="988"/>
      <c r="D125" s="988"/>
      <c r="E125" s="988"/>
      <c r="F125" s="988"/>
      <c r="G125" s="988"/>
      <c r="H125" s="988"/>
      <c r="I125" s="988"/>
      <c r="J125" s="988"/>
      <c r="K125" s="988"/>
      <c r="L125" s="988"/>
    </row>
    <row r="126" spans="1:12" ht="14.65" customHeight="1">
      <c r="A126" s="981"/>
      <c r="B126" s="981"/>
      <c r="C126" s="981"/>
      <c r="D126" s="981"/>
      <c r="E126" s="981"/>
      <c r="F126" s="981"/>
      <c r="G126" s="981"/>
      <c r="H126" s="981"/>
      <c r="I126" s="981"/>
      <c r="J126" s="981"/>
      <c r="K126" s="981"/>
      <c r="L126" s="981"/>
    </row>
    <row r="127" spans="1:12" ht="14.65" customHeight="1">
      <c r="A127" s="981"/>
      <c r="B127" s="981"/>
      <c r="C127" s="981"/>
      <c r="D127" s="981"/>
      <c r="E127" s="981"/>
      <c r="F127" s="981"/>
      <c r="G127" s="981"/>
      <c r="H127" s="981"/>
      <c r="I127" s="981"/>
      <c r="J127" s="981"/>
      <c r="K127" s="981"/>
      <c r="L127" s="981"/>
    </row>
    <row r="128" spans="1:12" ht="14.65" customHeight="1">
      <c r="A128" s="981"/>
      <c r="B128" s="981"/>
      <c r="C128" s="981"/>
      <c r="D128" s="981"/>
      <c r="E128" s="981"/>
      <c r="F128" s="981"/>
      <c r="G128" s="981"/>
      <c r="H128" s="981"/>
      <c r="I128" s="981"/>
      <c r="J128" s="981"/>
      <c r="K128" s="981"/>
      <c r="L128" s="981"/>
    </row>
    <row r="129" spans="1:12" ht="14.65" customHeight="1">
      <c r="A129" s="981"/>
      <c r="B129" s="981"/>
      <c r="C129" s="981"/>
      <c r="D129" s="981"/>
      <c r="E129" s="981"/>
      <c r="F129" s="981"/>
      <c r="G129" s="981"/>
      <c r="H129" s="981"/>
      <c r="I129" s="981"/>
      <c r="J129" s="981"/>
      <c r="K129" s="981"/>
      <c r="L129" s="981"/>
    </row>
    <row r="130" spans="1:12" ht="14.65" customHeight="1">
      <c r="A130" s="981"/>
      <c r="B130" s="981"/>
      <c r="C130" s="981"/>
      <c r="D130" s="981"/>
      <c r="E130" s="981"/>
      <c r="F130" s="981"/>
      <c r="G130" s="981"/>
      <c r="H130" s="981"/>
      <c r="I130" s="981"/>
      <c r="J130" s="981"/>
      <c r="K130" s="981"/>
      <c r="L130" s="981"/>
    </row>
    <row r="131" spans="1:12">
      <c r="A131" s="981"/>
      <c r="B131" s="981"/>
      <c r="C131" s="981"/>
      <c r="D131" s="981"/>
      <c r="E131" s="981"/>
      <c r="F131" s="981"/>
      <c r="G131" s="981"/>
      <c r="H131" s="981"/>
      <c r="I131" s="981"/>
      <c r="J131" s="981"/>
      <c r="K131" s="981"/>
      <c r="L131" s="981"/>
    </row>
    <row r="132" spans="1:12">
      <c r="A132" s="981"/>
      <c r="B132" s="981"/>
      <c r="C132" s="981"/>
      <c r="D132" s="981"/>
      <c r="E132" s="981"/>
      <c r="F132" s="981"/>
      <c r="G132" s="981"/>
      <c r="H132" s="981"/>
      <c r="I132" s="981"/>
      <c r="J132" s="981"/>
      <c r="K132" s="981"/>
      <c r="L132" s="981"/>
    </row>
    <row r="133" spans="1:12">
      <c r="A133" s="981"/>
      <c r="B133" s="981"/>
      <c r="C133" s="981"/>
      <c r="D133" s="981"/>
      <c r="E133" s="981"/>
      <c r="F133" s="981"/>
      <c r="G133" s="981"/>
      <c r="H133" s="981"/>
      <c r="I133" s="981"/>
      <c r="J133" s="981"/>
      <c r="K133" s="981"/>
      <c r="L133" s="981"/>
    </row>
    <row r="134" spans="1:12">
      <c r="A134" s="981"/>
      <c r="B134" s="981"/>
      <c r="C134" s="981"/>
      <c r="D134" s="981"/>
      <c r="E134" s="981"/>
      <c r="F134" s="981"/>
      <c r="G134" s="981"/>
      <c r="H134" s="981"/>
      <c r="I134" s="981"/>
      <c r="J134" s="981"/>
      <c r="K134" s="981"/>
      <c r="L134" s="981"/>
    </row>
    <row r="135" spans="1:12">
      <c r="A135" s="981"/>
      <c r="B135" s="981"/>
      <c r="C135" s="981"/>
      <c r="D135" s="981"/>
      <c r="E135" s="981"/>
      <c r="F135" s="981"/>
      <c r="G135" s="981"/>
      <c r="H135" s="981"/>
      <c r="I135" s="981"/>
      <c r="J135" s="981"/>
      <c r="K135" s="981"/>
      <c r="L135" s="981"/>
    </row>
    <row r="137" spans="1:12" s="2" customFormat="1">
      <c r="A137" s="325">
        <v>13</v>
      </c>
    </row>
    <row r="139" spans="1:12" ht="14.65" customHeight="1">
      <c r="A139" s="1143" t="s">
        <v>387</v>
      </c>
      <c r="B139" s="1144"/>
      <c r="C139" s="1144"/>
      <c r="D139" s="1144"/>
      <c r="E139" s="1144"/>
      <c r="F139" s="1144"/>
      <c r="G139" s="1144"/>
      <c r="H139" s="1144"/>
      <c r="I139" s="1144"/>
      <c r="J139" s="1144"/>
      <c r="K139" s="1144"/>
      <c r="L139" s="1145"/>
    </row>
    <row r="140" spans="1:12" ht="14.65" customHeight="1">
      <c r="A140" s="1146"/>
      <c r="B140" s="1147"/>
      <c r="C140" s="1147"/>
      <c r="D140" s="1147"/>
      <c r="E140" s="1147"/>
      <c r="F140" s="1147"/>
      <c r="G140" s="1147"/>
      <c r="H140" s="1147"/>
      <c r="I140" s="1147"/>
      <c r="J140" s="1147"/>
      <c r="K140" s="1147"/>
      <c r="L140" s="1148"/>
    </row>
    <row r="141" spans="1:12" ht="14.65" customHeight="1">
      <c r="A141" s="1146"/>
      <c r="B141" s="1147"/>
      <c r="C141" s="1147"/>
      <c r="D141" s="1147"/>
      <c r="E141" s="1147"/>
      <c r="F141" s="1147"/>
      <c r="G141" s="1147"/>
      <c r="H141" s="1147"/>
      <c r="I141" s="1147"/>
      <c r="J141" s="1147"/>
      <c r="K141" s="1147"/>
      <c r="L141" s="1148"/>
    </row>
    <row r="142" spans="1:12" ht="14.65" customHeight="1">
      <c r="A142" s="1146"/>
      <c r="B142" s="1147"/>
      <c r="C142" s="1147"/>
      <c r="D142" s="1147"/>
      <c r="E142" s="1147"/>
      <c r="F142" s="1147"/>
      <c r="G142" s="1147"/>
      <c r="H142" s="1147"/>
      <c r="I142" s="1147"/>
      <c r="J142" s="1147"/>
      <c r="K142" s="1147"/>
      <c r="L142" s="1148"/>
    </row>
    <row r="143" spans="1:12" ht="14.65" customHeight="1">
      <c r="A143" s="1146"/>
      <c r="B143" s="1147"/>
      <c r="C143" s="1147"/>
      <c r="D143" s="1147"/>
      <c r="E143" s="1147"/>
      <c r="F143" s="1147"/>
      <c r="G143" s="1147"/>
      <c r="H143" s="1147"/>
      <c r="I143" s="1147"/>
      <c r="J143" s="1147"/>
      <c r="K143" s="1147"/>
      <c r="L143" s="1148"/>
    </row>
    <row r="144" spans="1:12" ht="14.65" customHeight="1">
      <c r="A144" s="1146"/>
      <c r="B144" s="1147"/>
      <c r="C144" s="1147"/>
      <c r="D144" s="1147"/>
      <c r="E144" s="1147"/>
      <c r="F144" s="1147"/>
      <c r="G144" s="1147"/>
      <c r="H144" s="1147"/>
      <c r="I144" s="1147"/>
      <c r="J144" s="1147"/>
      <c r="K144" s="1147"/>
      <c r="L144" s="1148"/>
    </row>
    <row r="146" spans="1:12" s="2" customFormat="1">
      <c r="A146" s="325">
        <v>14</v>
      </c>
    </row>
    <row r="148" spans="1:12">
      <c r="A148" s="1143" t="s">
        <v>388</v>
      </c>
      <c r="B148" s="1144"/>
      <c r="C148" s="1144"/>
      <c r="D148" s="1144"/>
      <c r="E148" s="1144"/>
      <c r="F148" s="1144"/>
      <c r="G148" s="1144"/>
      <c r="H148" s="1144"/>
      <c r="I148" s="1144"/>
      <c r="J148" s="1144"/>
      <c r="K148" s="1144"/>
      <c r="L148" s="1145"/>
    </row>
    <row r="149" spans="1:12" ht="14.65" customHeight="1">
      <c r="A149" s="1146"/>
      <c r="B149" s="1147"/>
      <c r="C149" s="1147"/>
      <c r="D149" s="1147"/>
      <c r="E149" s="1147"/>
      <c r="F149" s="1147"/>
      <c r="G149" s="1147"/>
      <c r="H149" s="1147"/>
      <c r="I149" s="1147"/>
      <c r="J149" s="1147"/>
      <c r="K149" s="1147"/>
      <c r="L149" s="1148"/>
    </row>
    <row r="150" spans="1:12" ht="14.65" customHeight="1">
      <c r="A150" s="1146"/>
      <c r="B150" s="1147"/>
      <c r="C150" s="1147"/>
      <c r="D150" s="1147"/>
      <c r="E150" s="1147"/>
      <c r="F150" s="1147"/>
      <c r="G150" s="1147"/>
      <c r="H150" s="1147"/>
      <c r="I150" s="1147"/>
      <c r="J150" s="1147"/>
      <c r="K150" s="1147"/>
      <c r="L150" s="1148"/>
    </row>
    <row r="151" spans="1:12" ht="14.65" customHeight="1">
      <c r="A151" s="1146"/>
      <c r="B151" s="1147"/>
      <c r="C151" s="1147"/>
      <c r="D151" s="1147"/>
      <c r="E151" s="1147"/>
      <c r="F151" s="1147"/>
      <c r="G151" s="1147"/>
      <c r="H151" s="1147"/>
      <c r="I151" s="1147"/>
      <c r="J151" s="1147"/>
      <c r="K151" s="1147"/>
      <c r="L151" s="1148"/>
    </row>
    <row r="152" spans="1:12" ht="14.65" customHeight="1">
      <c r="A152" s="1146"/>
      <c r="B152" s="1147"/>
      <c r="C152" s="1147"/>
      <c r="D152" s="1147"/>
      <c r="E152" s="1147"/>
      <c r="F152" s="1147"/>
      <c r="G152" s="1147"/>
      <c r="H152" s="1147"/>
      <c r="I152" s="1147"/>
      <c r="J152" s="1147"/>
      <c r="K152" s="1147"/>
      <c r="L152" s="1148"/>
    </row>
    <row r="153" spans="1:12" ht="14.65" customHeight="1">
      <c r="A153" s="1146"/>
      <c r="B153" s="1147"/>
      <c r="C153" s="1147"/>
      <c r="D153" s="1147"/>
      <c r="E153" s="1147"/>
      <c r="F153" s="1147"/>
      <c r="G153" s="1147"/>
      <c r="H153" s="1147"/>
      <c r="I153" s="1147"/>
      <c r="J153" s="1147"/>
      <c r="K153" s="1147"/>
      <c r="L153" s="1148"/>
    </row>
    <row r="154" spans="1:12" ht="14.65" customHeight="1">
      <c r="A154" s="1149"/>
      <c r="B154" s="1150"/>
      <c r="C154" s="1150"/>
      <c r="D154" s="1150"/>
      <c r="E154" s="1150"/>
      <c r="F154" s="1150"/>
      <c r="G154" s="1150"/>
      <c r="H154" s="1150"/>
      <c r="I154" s="1150"/>
      <c r="J154" s="1150"/>
      <c r="K154" s="1150"/>
      <c r="L154" s="1151"/>
    </row>
    <row r="155" spans="1:12" ht="15.75">
      <c r="A155" s="1173" t="s">
        <v>389</v>
      </c>
      <c r="B155" s="1174"/>
      <c r="C155" s="1174"/>
      <c r="D155" s="1174"/>
      <c r="E155" s="1174"/>
      <c r="F155" s="1174"/>
      <c r="G155" s="1174"/>
      <c r="H155" s="1174"/>
      <c r="I155" s="1174"/>
      <c r="J155" s="1174"/>
      <c r="K155" s="1174"/>
      <c r="L155" s="1175"/>
    </row>
    <row r="156" spans="1:12" ht="15.75">
      <c r="A156" s="1146" t="s">
        <v>390</v>
      </c>
      <c r="B156" s="1147"/>
      <c r="C156" s="1147"/>
      <c r="D156" s="1147"/>
      <c r="E156" s="1147"/>
      <c r="F156" s="1147"/>
      <c r="G156" s="1147"/>
      <c r="H156" s="1147"/>
      <c r="I156" s="1147"/>
      <c r="J156" s="1147"/>
      <c r="K156" s="1147"/>
      <c r="L156" s="1148"/>
    </row>
    <row r="158" spans="1:12" s="2" customFormat="1">
      <c r="A158" s="347">
        <v>15</v>
      </c>
      <c r="B158" s="347"/>
    </row>
    <row r="160" spans="1:12" ht="23.25">
      <c r="A160" s="348" t="s">
        <v>391</v>
      </c>
      <c r="B160" s="349" t="s">
        <v>48</v>
      </c>
      <c r="C160" s="349" t="s">
        <v>48</v>
      </c>
      <c r="D160" s="349" t="s">
        <v>48</v>
      </c>
      <c r="E160" s="349" t="s">
        <v>48</v>
      </c>
      <c r="F160" s="349" t="s">
        <v>48</v>
      </c>
      <c r="G160" s="349" t="s">
        <v>48</v>
      </c>
      <c r="H160" s="349" t="s">
        <v>48</v>
      </c>
      <c r="I160" s="348" t="s">
        <v>392</v>
      </c>
      <c r="J160" s="349" t="s">
        <v>48</v>
      </c>
      <c r="K160" s="349" t="s">
        <v>48</v>
      </c>
      <c r="L160" s="349" t="s">
        <v>48</v>
      </c>
    </row>
    <row r="161" spans="1:12" ht="15.75">
      <c r="A161" s="349" t="s">
        <v>48</v>
      </c>
      <c r="B161" s="349" t="s">
        <v>48</v>
      </c>
      <c r="C161" s="349" t="s">
        <v>48</v>
      </c>
      <c r="D161" s="349" t="s">
        <v>48</v>
      </c>
      <c r="E161" s="349" t="s">
        <v>48</v>
      </c>
      <c r="F161" s="349" t="s">
        <v>48</v>
      </c>
      <c r="G161" s="349" t="s">
        <v>48</v>
      </c>
      <c r="H161" s="349" t="s">
        <v>48</v>
      </c>
      <c r="I161" s="349" t="s">
        <v>48</v>
      </c>
      <c r="J161" s="349" t="s">
        <v>48</v>
      </c>
      <c r="K161" s="349" t="s">
        <v>48</v>
      </c>
      <c r="L161" s="349" t="s">
        <v>48</v>
      </c>
    </row>
    <row r="162" spans="1:12" ht="15.75">
      <c r="A162" s="327" t="s">
        <v>353</v>
      </c>
      <c r="B162" s="327"/>
      <c r="C162" s="350"/>
      <c r="D162" s="350"/>
      <c r="E162" s="350"/>
      <c r="F162" s="350"/>
      <c r="G162" s="350"/>
      <c r="H162" s="349" t="s">
        <v>48</v>
      </c>
      <c r="I162" s="351" t="s">
        <v>359</v>
      </c>
      <c r="J162" s="352" t="s">
        <v>360</v>
      </c>
      <c r="K162" s="349" t="s">
        <v>48</v>
      </c>
      <c r="L162" s="349" t="s">
        <v>48</v>
      </c>
    </row>
    <row r="163" spans="1:12" ht="15.75">
      <c r="A163" s="328"/>
      <c r="B163" s="329" t="s">
        <v>354</v>
      </c>
      <c r="C163" s="329">
        <v>2017</v>
      </c>
      <c r="D163" s="329">
        <v>2018</v>
      </c>
      <c r="E163" s="329">
        <v>2019</v>
      </c>
      <c r="F163" s="329">
        <v>2020</v>
      </c>
      <c r="G163" s="329">
        <v>2021</v>
      </c>
      <c r="H163" s="349" t="s">
        <v>48</v>
      </c>
      <c r="I163" s="353" t="s">
        <v>361</v>
      </c>
      <c r="J163" s="354">
        <v>0.01</v>
      </c>
      <c r="K163" s="349" t="s">
        <v>48</v>
      </c>
      <c r="L163" s="349" t="s">
        <v>48</v>
      </c>
    </row>
    <row r="164" spans="1:12" ht="15.75">
      <c r="A164" s="330"/>
      <c r="B164" s="355" t="s">
        <v>355</v>
      </c>
      <c r="C164" s="330">
        <v>9.23</v>
      </c>
      <c r="D164" s="330">
        <v>9.08</v>
      </c>
      <c r="E164" s="330">
        <v>6.5</v>
      </c>
      <c r="F164" s="330">
        <v>7.2</v>
      </c>
      <c r="G164" s="330">
        <v>7.9</v>
      </c>
      <c r="H164" s="349" t="s">
        <v>48</v>
      </c>
      <c r="I164" s="353" t="s">
        <v>362</v>
      </c>
      <c r="J164" s="356">
        <v>7.1999999999999995E-2</v>
      </c>
      <c r="K164" s="349" t="s">
        <v>48</v>
      </c>
      <c r="L164" s="349" t="s">
        <v>48</v>
      </c>
    </row>
    <row r="165" spans="1:12" ht="15.75">
      <c r="A165" s="330"/>
      <c r="B165" s="355" t="s">
        <v>356</v>
      </c>
      <c r="C165" s="332">
        <v>0.35</v>
      </c>
      <c r="D165" s="332">
        <v>0.3</v>
      </c>
      <c r="E165" s="332">
        <v>0.3</v>
      </c>
      <c r="F165" s="333">
        <v>0.3</v>
      </c>
      <c r="G165" s="333">
        <v>0.28000000000000003</v>
      </c>
      <c r="H165" s="349" t="s">
        <v>48</v>
      </c>
      <c r="I165" s="353" t="s">
        <v>363</v>
      </c>
      <c r="J165" s="354">
        <v>0.15</v>
      </c>
      <c r="K165" s="349" t="s">
        <v>48</v>
      </c>
      <c r="L165" s="349" t="s">
        <v>48</v>
      </c>
    </row>
    <row r="166" spans="1:12" ht="15.75">
      <c r="A166" s="330"/>
      <c r="B166" s="355" t="s">
        <v>357</v>
      </c>
      <c r="C166" s="332">
        <v>0.12</v>
      </c>
      <c r="D166" s="332">
        <v>0.2</v>
      </c>
      <c r="E166" s="332">
        <v>0.1</v>
      </c>
      <c r="F166" s="332">
        <v>0.1</v>
      </c>
      <c r="G166" s="329">
        <v>0.12</v>
      </c>
      <c r="H166" s="349" t="s">
        <v>48</v>
      </c>
      <c r="I166" s="353" t="s">
        <v>364</v>
      </c>
      <c r="J166" s="354">
        <v>0.11</v>
      </c>
      <c r="K166" s="349" t="s">
        <v>48</v>
      </c>
      <c r="L166" s="349" t="s">
        <v>48</v>
      </c>
    </row>
    <row r="167" spans="1:12" ht="15.75">
      <c r="A167" s="349" t="s">
        <v>48</v>
      </c>
      <c r="B167" s="349" t="s">
        <v>48</v>
      </c>
      <c r="C167" s="349" t="s">
        <v>48</v>
      </c>
      <c r="D167" s="349" t="s">
        <v>48</v>
      </c>
      <c r="E167" s="349" t="s">
        <v>48</v>
      </c>
      <c r="F167" s="349" t="s">
        <v>48</v>
      </c>
      <c r="G167" s="349" t="s">
        <v>48</v>
      </c>
      <c r="H167" s="349" t="s">
        <v>48</v>
      </c>
      <c r="I167" s="349" t="s">
        <v>48</v>
      </c>
      <c r="J167" s="349" t="s">
        <v>48</v>
      </c>
      <c r="K167" s="349" t="s">
        <v>48</v>
      </c>
      <c r="L167" s="349" t="s">
        <v>48</v>
      </c>
    </row>
    <row r="168" spans="1:12" ht="15.75">
      <c r="A168" s="349" t="s">
        <v>48</v>
      </c>
      <c r="B168" s="349" t="s">
        <v>48</v>
      </c>
      <c r="C168" s="349" t="s">
        <v>48</v>
      </c>
      <c r="D168" s="349" t="s">
        <v>48</v>
      </c>
      <c r="E168" s="349" t="s">
        <v>48</v>
      </c>
      <c r="F168" s="349" t="s">
        <v>48</v>
      </c>
      <c r="G168" s="349" t="s">
        <v>48</v>
      </c>
      <c r="H168" s="349" t="s">
        <v>48</v>
      </c>
      <c r="I168" s="349" t="s">
        <v>48</v>
      </c>
      <c r="J168" s="349" t="s">
        <v>48</v>
      </c>
      <c r="K168" s="349" t="s">
        <v>48</v>
      </c>
      <c r="L168" s="349" t="s">
        <v>48</v>
      </c>
    </row>
    <row r="169" spans="1:12" ht="15.75">
      <c r="A169" s="349" t="s">
        <v>48</v>
      </c>
      <c r="B169" s="349" t="s">
        <v>48</v>
      </c>
      <c r="C169" s="349" t="s">
        <v>48</v>
      </c>
      <c r="D169" s="349" t="s">
        <v>48</v>
      </c>
      <c r="E169" s="349" t="s">
        <v>48</v>
      </c>
      <c r="F169" s="349" t="s">
        <v>48</v>
      </c>
      <c r="G169" s="349" t="s">
        <v>48</v>
      </c>
      <c r="H169" s="349" t="s">
        <v>48</v>
      </c>
      <c r="I169" s="349" t="s">
        <v>48</v>
      </c>
      <c r="J169" s="349" t="s">
        <v>48</v>
      </c>
      <c r="K169" s="349" t="s">
        <v>48</v>
      </c>
      <c r="L169" s="349" t="s">
        <v>48</v>
      </c>
    </row>
    <row r="170" spans="1:12" ht="14.65" customHeight="1">
      <c r="A170" s="1143" t="s">
        <v>393</v>
      </c>
      <c r="B170" s="1144"/>
      <c r="C170" s="1144"/>
      <c r="D170" s="1144"/>
      <c r="E170" s="1144"/>
      <c r="F170" s="1144"/>
      <c r="G170" s="1144"/>
      <c r="H170" s="1144"/>
      <c r="I170" s="1144"/>
      <c r="J170" s="1144"/>
      <c r="K170" s="1144"/>
      <c r="L170" s="1145"/>
    </row>
    <row r="171" spans="1:12" ht="14.65" customHeight="1">
      <c r="A171" s="1146"/>
      <c r="B171" s="1147"/>
      <c r="C171" s="1147"/>
      <c r="D171" s="1147"/>
      <c r="E171" s="1147"/>
      <c r="F171" s="1147"/>
      <c r="G171" s="1147"/>
      <c r="H171" s="1147"/>
      <c r="I171" s="1147"/>
      <c r="J171" s="1147"/>
      <c r="K171" s="1147"/>
      <c r="L171" s="1148"/>
    </row>
    <row r="172" spans="1:12" ht="15.75">
      <c r="A172" s="1146" t="s">
        <v>394</v>
      </c>
      <c r="B172" s="1147"/>
      <c r="C172" s="1147"/>
      <c r="D172" s="1147"/>
      <c r="E172" s="1147"/>
      <c r="F172" s="1147"/>
      <c r="G172" s="1147"/>
      <c r="H172" s="1147"/>
      <c r="I172" s="1147"/>
      <c r="J172" s="1147"/>
      <c r="K172" s="1147"/>
      <c r="L172" s="1148"/>
    </row>
    <row r="173" spans="1:12" ht="15.75">
      <c r="A173" s="1176" t="s">
        <v>395</v>
      </c>
      <c r="B173" s="1177"/>
      <c r="C173" s="1177"/>
      <c r="D173" s="1177"/>
      <c r="E173" s="1177"/>
      <c r="F173" s="1177"/>
      <c r="G173" s="1177"/>
      <c r="H173" s="1177"/>
      <c r="I173" s="1177"/>
      <c r="J173" s="1177"/>
      <c r="K173" s="1177"/>
      <c r="L173" s="1178"/>
    </row>
    <row r="175" spans="1:12" s="2" customFormat="1">
      <c r="A175" s="347">
        <v>16</v>
      </c>
      <c r="B175" s="347"/>
    </row>
    <row r="177" spans="1:11" ht="15.75">
      <c r="A177" s="357" t="s">
        <v>396</v>
      </c>
      <c r="B177" s="357"/>
      <c r="C177" s="357"/>
      <c r="D177" s="358"/>
      <c r="E177" s="358"/>
      <c r="F177" s="357"/>
      <c r="G177" s="357"/>
      <c r="H177" s="357"/>
      <c r="I177" s="357"/>
      <c r="J177" s="357"/>
      <c r="K177" s="357"/>
    </row>
    <row r="178" spans="1:11" ht="15.75">
      <c r="A178" s="357" t="s">
        <v>397</v>
      </c>
      <c r="B178" s="359"/>
      <c r="C178" s="359">
        <v>70000</v>
      </c>
      <c r="D178" s="358"/>
      <c r="E178" s="358"/>
      <c r="F178" s="357"/>
      <c r="G178" s="357"/>
      <c r="H178" s="357"/>
      <c r="I178" s="357"/>
      <c r="J178" s="357"/>
      <c r="K178" s="357"/>
    </row>
    <row r="179" spans="1:11" ht="15.75">
      <c r="A179" s="357" t="s">
        <v>398</v>
      </c>
      <c r="B179" s="357"/>
      <c r="C179" s="357"/>
      <c r="D179" s="358"/>
      <c r="E179" s="358"/>
      <c r="F179" s="357"/>
      <c r="G179" s="357"/>
      <c r="H179" s="357"/>
      <c r="I179" s="357"/>
      <c r="J179" s="357"/>
      <c r="K179" s="357"/>
    </row>
    <row r="180" spans="1:11" ht="15.75">
      <c r="A180" s="357" t="s">
        <v>399</v>
      </c>
      <c r="B180" s="357"/>
      <c r="C180" s="360">
        <v>0.25</v>
      </c>
      <c r="D180" s="358"/>
      <c r="E180" s="358"/>
      <c r="F180" s="357"/>
      <c r="G180" s="357"/>
      <c r="H180" s="357"/>
      <c r="I180" s="357"/>
      <c r="J180" s="357"/>
      <c r="K180" s="357"/>
    </row>
    <row r="181" spans="1:11" ht="15.75">
      <c r="A181" s="357" t="s">
        <v>400</v>
      </c>
      <c r="B181" s="359"/>
      <c r="C181" s="359">
        <v>35000</v>
      </c>
      <c r="D181" s="358"/>
      <c r="E181" s="358"/>
      <c r="F181" s="357"/>
      <c r="G181" s="357"/>
      <c r="H181" s="357"/>
      <c r="I181" s="357"/>
      <c r="J181" s="357"/>
      <c r="K181" s="357"/>
    </row>
    <row r="182" spans="1:11" ht="15.75">
      <c r="A182" s="357" t="s">
        <v>401</v>
      </c>
      <c r="B182" s="357"/>
      <c r="C182" s="361">
        <v>150000</v>
      </c>
      <c r="D182" s="357"/>
      <c r="E182" s="358"/>
      <c r="F182" s="357"/>
      <c r="G182" s="357"/>
      <c r="H182" s="357"/>
      <c r="I182" s="357"/>
      <c r="J182" s="357"/>
      <c r="K182" s="357"/>
    </row>
    <row r="183" spans="1:11" ht="15.75">
      <c r="A183" s="357" t="s">
        <v>402</v>
      </c>
      <c r="B183" s="357"/>
      <c r="C183" s="357">
        <v>5</v>
      </c>
      <c r="D183" s="358" t="s">
        <v>403</v>
      </c>
      <c r="E183" s="358"/>
      <c r="F183" s="357"/>
      <c r="G183" s="357"/>
      <c r="H183" s="357"/>
      <c r="I183" s="357"/>
      <c r="J183" s="357"/>
      <c r="K183" s="357"/>
    </row>
    <row r="184" spans="1:11" ht="15.75">
      <c r="A184" s="357" t="s">
        <v>404</v>
      </c>
      <c r="B184" s="357"/>
      <c r="C184" s="361">
        <v>15000</v>
      </c>
      <c r="D184" s="358"/>
      <c r="E184" s="358"/>
      <c r="F184" s="357"/>
      <c r="G184" s="357"/>
      <c r="H184" s="357"/>
      <c r="I184" s="357"/>
      <c r="J184" s="357"/>
      <c r="K184" s="357"/>
    </row>
    <row r="185" spans="1:11" ht="15.75">
      <c r="A185" s="357" t="s">
        <v>405</v>
      </c>
      <c r="B185" s="357"/>
      <c r="C185" s="360">
        <v>0.1</v>
      </c>
      <c r="D185" s="358"/>
      <c r="E185" s="358"/>
      <c r="F185" s="357"/>
      <c r="G185" s="357"/>
      <c r="H185" s="357"/>
      <c r="I185" s="357"/>
      <c r="J185" s="357"/>
      <c r="K185" s="357"/>
    </row>
    <row r="186" spans="1:11" ht="15.75">
      <c r="A186" s="357" t="s">
        <v>406</v>
      </c>
      <c r="B186" s="357"/>
      <c r="C186" s="360">
        <v>0.5</v>
      </c>
      <c r="D186" s="358"/>
      <c r="E186" s="358"/>
      <c r="F186" s="357"/>
      <c r="G186" s="357"/>
      <c r="H186" s="357"/>
      <c r="I186" s="357"/>
      <c r="J186" s="357"/>
      <c r="K186" s="357"/>
    </row>
    <row r="187" spans="1:11" ht="15.75">
      <c r="A187" s="357" t="s">
        <v>407</v>
      </c>
      <c r="B187" s="357"/>
      <c r="C187" s="360">
        <v>0.14000000000000001</v>
      </c>
      <c r="D187" s="362"/>
      <c r="E187" s="363"/>
      <c r="F187" s="357"/>
      <c r="G187" s="357"/>
      <c r="H187" s="357"/>
      <c r="I187" s="357"/>
      <c r="J187" s="357"/>
      <c r="K187" s="357"/>
    </row>
    <row r="188" spans="1:11" ht="15.75">
      <c r="A188" s="357" t="s">
        <v>408</v>
      </c>
      <c r="B188" s="357"/>
      <c r="C188" s="360">
        <v>0.08</v>
      </c>
      <c r="D188" s="362"/>
      <c r="E188" s="363"/>
      <c r="F188" s="357"/>
      <c r="G188" s="357"/>
      <c r="H188" s="357"/>
      <c r="I188" s="357"/>
      <c r="J188" s="357"/>
      <c r="K188" s="357"/>
    </row>
    <row r="189" spans="1:11" ht="15.75">
      <c r="A189" s="357" t="s">
        <v>409</v>
      </c>
      <c r="B189" s="357"/>
      <c r="C189" s="360">
        <v>0.25</v>
      </c>
      <c r="D189" s="358"/>
      <c r="E189" s="358"/>
      <c r="F189" s="357"/>
      <c r="G189" s="357"/>
      <c r="H189" s="357"/>
      <c r="I189" s="357"/>
      <c r="J189" s="357"/>
      <c r="K189" s="357"/>
    </row>
    <row r="190" spans="1:11" ht="15.75">
      <c r="A190" s="357"/>
      <c r="B190" s="357"/>
      <c r="C190" s="364"/>
      <c r="D190" s="364"/>
      <c r="E190" s="364"/>
      <c r="F190" s="364"/>
      <c r="G190" s="364"/>
      <c r="H190" s="357"/>
      <c r="I190" s="357"/>
      <c r="J190" s="357"/>
      <c r="K190" s="357"/>
    </row>
    <row r="191" spans="1:11" ht="15.75">
      <c r="A191" s="1138" t="s">
        <v>410</v>
      </c>
      <c r="B191" s="1139"/>
      <c r="C191" s="1139"/>
      <c r="D191" s="1139"/>
      <c r="E191" s="1139"/>
      <c r="F191" s="1139"/>
      <c r="G191" s="1139"/>
      <c r="H191" s="1139"/>
      <c r="I191" s="1139"/>
      <c r="J191" s="1139"/>
      <c r="K191" s="1139"/>
    </row>
    <row r="192" spans="1:11" ht="15.75">
      <c r="A192" s="966" t="s">
        <v>411</v>
      </c>
      <c r="B192" s="967"/>
      <c r="C192" s="967"/>
      <c r="D192" s="967"/>
      <c r="E192" s="967"/>
      <c r="F192" s="967"/>
      <c r="G192" s="967"/>
      <c r="H192" s="967"/>
      <c r="I192" s="967"/>
      <c r="J192" s="967"/>
      <c r="K192" s="967"/>
    </row>
    <row r="193" spans="1:11" ht="15.75">
      <c r="A193" s="966" t="s">
        <v>412</v>
      </c>
      <c r="B193" s="967"/>
      <c r="C193" s="967"/>
      <c r="D193" s="967"/>
      <c r="E193" s="967"/>
      <c r="F193" s="967"/>
      <c r="G193" s="967"/>
      <c r="H193" s="967"/>
      <c r="I193" s="967"/>
      <c r="J193" s="967"/>
      <c r="K193" s="967"/>
    </row>
    <row r="194" spans="1:11" ht="15.75">
      <c r="A194" s="966" t="s">
        <v>413</v>
      </c>
      <c r="B194" s="967"/>
      <c r="C194" s="967"/>
      <c r="D194" s="967"/>
      <c r="E194" s="967"/>
      <c r="F194" s="967"/>
      <c r="G194" s="967"/>
      <c r="H194" s="967"/>
      <c r="I194" s="967"/>
      <c r="J194" s="967"/>
      <c r="K194" s="967"/>
    </row>
    <row r="195" spans="1:11" ht="15.75">
      <c r="A195" s="966" t="s">
        <v>414</v>
      </c>
      <c r="B195" s="967"/>
      <c r="C195" s="967"/>
      <c r="D195" s="967"/>
      <c r="E195" s="967"/>
      <c r="F195" s="967"/>
      <c r="G195" s="967"/>
      <c r="H195" s="967"/>
      <c r="I195" s="967"/>
      <c r="J195" s="967"/>
      <c r="K195" s="967"/>
    </row>
    <row r="196" spans="1:11" ht="15.75">
      <c r="A196" s="969"/>
      <c r="B196" s="970"/>
      <c r="C196" s="970"/>
      <c r="D196" s="970"/>
      <c r="E196" s="970"/>
      <c r="F196" s="970"/>
      <c r="G196" s="970"/>
      <c r="H196" s="970"/>
      <c r="I196" s="970"/>
      <c r="J196" s="970"/>
      <c r="K196" s="970"/>
    </row>
    <row r="198" spans="1:11" s="2" customFormat="1">
      <c r="A198" s="347">
        <v>17</v>
      </c>
      <c r="B198" s="347"/>
    </row>
    <row r="200" spans="1:11" ht="15.75">
      <c r="A200" s="365" t="s">
        <v>415</v>
      </c>
      <c r="B200" s="357"/>
      <c r="C200" s="357"/>
      <c r="D200" s="357"/>
      <c r="E200" s="357"/>
      <c r="F200" s="357"/>
      <c r="G200" s="357"/>
      <c r="H200" s="357"/>
      <c r="I200" s="357"/>
      <c r="J200" s="357"/>
      <c r="K200" s="357"/>
    </row>
    <row r="201" spans="1:11" ht="15.75">
      <c r="A201" s="366" t="s">
        <v>416</v>
      </c>
      <c r="B201" s="366" t="s">
        <v>417</v>
      </c>
      <c r="C201" s="366" t="s">
        <v>418</v>
      </c>
      <c r="D201" s="366" t="s">
        <v>419</v>
      </c>
      <c r="E201" s="366" t="s">
        <v>420</v>
      </c>
      <c r="F201" s="366" t="s">
        <v>421</v>
      </c>
      <c r="G201" s="357"/>
      <c r="H201" s="357"/>
      <c r="I201" s="357"/>
      <c r="J201" s="357"/>
      <c r="K201" s="357"/>
    </row>
    <row r="202" spans="1:11" ht="15.75">
      <c r="A202" s="366">
        <v>-90000</v>
      </c>
      <c r="B202" s="366">
        <v>15000</v>
      </c>
      <c r="C202" s="366">
        <v>27500</v>
      </c>
      <c r="D202" s="366">
        <v>44850</v>
      </c>
      <c r="E202" s="366">
        <v>55650</v>
      </c>
      <c r="F202" s="366">
        <v>65000</v>
      </c>
      <c r="G202" s="357"/>
      <c r="H202" s="357"/>
      <c r="I202" s="357"/>
      <c r="J202" s="357"/>
      <c r="K202" s="357"/>
    </row>
    <row r="203" spans="1:11" ht="15.75">
      <c r="A203" s="357"/>
      <c r="B203" s="357"/>
      <c r="C203" s="357"/>
      <c r="D203" s="357"/>
      <c r="E203" s="357"/>
      <c r="F203" s="357"/>
      <c r="G203" s="357"/>
      <c r="H203" s="357"/>
      <c r="I203" s="357"/>
      <c r="J203" s="357"/>
      <c r="K203" s="357"/>
    </row>
    <row r="204" spans="1:11" ht="15.75">
      <c r="A204" s="1138" t="s">
        <v>422</v>
      </c>
      <c r="B204" s="1139"/>
      <c r="C204" s="1139"/>
      <c r="D204" s="1139"/>
      <c r="E204" s="1139"/>
      <c r="F204" s="1139"/>
      <c r="G204" s="1139"/>
      <c r="H204" s="1139"/>
      <c r="I204" s="1139"/>
      <c r="J204" s="1139"/>
      <c r="K204" s="1139"/>
    </row>
    <row r="205" spans="1:11" ht="15.75">
      <c r="A205" s="966" t="s">
        <v>423</v>
      </c>
      <c r="B205" s="967"/>
      <c r="C205" s="967"/>
      <c r="D205" s="967"/>
      <c r="E205" s="967"/>
      <c r="F205" s="967"/>
      <c r="G205" s="967"/>
      <c r="H205" s="967"/>
      <c r="I205" s="967"/>
      <c r="J205" s="967"/>
      <c r="K205" s="967"/>
    </row>
    <row r="206" spans="1:11" ht="15.75">
      <c r="A206" s="966" t="s">
        <v>424</v>
      </c>
      <c r="B206" s="967"/>
      <c r="C206" s="967"/>
      <c r="D206" s="967"/>
      <c r="E206" s="967"/>
      <c r="F206" s="967"/>
      <c r="G206" s="967"/>
      <c r="H206" s="967"/>
      <c r="I206" s="967"/>
      <c r="J206" s="967"/>
      <c r="K206" s="967"/>
    </row>
    <row r="207" spans="1:11" ht="15.75">
      <c r="A207" s="969" t="s">
        <v>425</v>
      </c>
      <c r="B207" s="970"/>
      <c r="C207" s="970"/>
      <c r="D207" s="970"/>
      <c r="E207" s="970"/>
      <c r="F207" s="970"/>
      <c r="G207" s="970"/>
      <c r="H207" s="970"/>
      <c r="I207" s="970"/>
      <c r="J207" s="970"/>
      <c r="K207" s="970"/>
    </row>
    <row r="209" spans="1:11" s="2" customFormat="1">
      <c r="A209" s="347">
        <v>18</v>
      </c>
      <c r="B209" s="347"/>
    </row>
    <row r="211" spans="1:11" ht="15.75">
      <c r="A211" s="1138" t="s">
        <v>426</v>
      </c>
      <c r="B211" s="1139"/>
      <c r="C211" s="1139"/>
      <c r="D211" s="1139"/>
      <c r="E211" s="1139"/>
      <c r="F211" s="1139"/>
      <c r="G211" s="1139"/>
      <c r="H211" s="1139"/>
      <c r="I211" s="1139"/>
      <c r="J211" s="1139"/>
      <c r="K211" s="1139"/>
    </row>
    <row r="212" spans="1:11" ht="15.75" customHeight="1">
      <c r="A212" s="966" t="s">
        <v>427</v>
      </c>
      <c r="B212" s="967"/>
      <c r="C212" s="967"/>
      <c r="D212" s="967"/>
      <c r="E212" s="967"/>
      <c r="F212" s="967"/>
      <c r="G212" s="967"/>
      <c r="H212" s="967"/>
      <c r="I212" s="967"/>
      <c r="J212" s="967"/>
      <c r="K212" s="967"/>
    </row>
    <row r="213" spans="1:11" ht="15.75" customHeight="1">
      <c r="A213" s="969"/>
      <c r="B213" s="970"/>
      <c r="C213" s="970"/>
      <c r="D213" s="970"/>
      <c r="E213" s="970"/>
      <c r="F213" s="970"/>
      <c r="G213" s="970"/>
      <c r="H213" s="970"/>
      <c r="I213" s="970"/>
      <c r="J213" s="970"/>
      <c r="K213" s="970"/>
    </row>
    <row r="215" spans="1:11" s="2" customFormat="1">
      <c r="A215" s="347">
        <v>19</v>
      </c>
      <c r="B215" s="347"/>
    </row>
    <row r="216" spans="1:11" ht="14.65" thickBot="1"/>
    <row r="217" spans="1:11" ht="15.75">
      <c r="A217" s="367" t="s">
        <v>428</v>
      </c>
      <c r="B217" s="368">
        <v>148594.74</v>
      </c>
      <c r="C217" s="191"/>
      <c r="D217" s="191"/>
      <c r="E217" s="191"/>
      <c r="F217" s="191"/>
      <c r="G217" s="191"/>
      <c r="H217" s="191"/>
      <c r="I217" s="191"/>
      <c r="J217" s="191"/>
      <c r="K217" s="191"/>
    </row>
    <row r="218" spans="1:11" ht="15.75">
      <c r="A218" s="369" t="s">
        <v>429</v>
      </c>
      <c r="B218" s="370">
        <v>10</v>
      </c>
      <c r="C218" s="191"/>
      <c r="D218" s="191"/>
      <c r="E218" s="191"/>
      <c r="F218" s="191"/>
      <c r="G218" s="191"/>
      <c r="H218" s="191"/>
      <c r="I218" s="191"/>
      <c r="J218" s="191"/>
      <c r="K218" s="191"/>
    </row>
    <row r="219" spans="1:11" ht="15.75">
      <c r="A219" s="369" t="s">
        <v>430</v>
      </c>
      <c r="B219" s="371">
        <v>0.04</v>
      </c>
      <c r="C219" s="191"/>
      <c r="D219" s="191"/>
      <c r="E219" s="191"/>
      <c r="F219" s="191"/>
      <c r="G219" s="191"/>
      <c r="H219" s="191"/>
      <c r="I219" s="191"/>
      <c r="J219" s="191"/>
      <c r="K219" s="191"/>
    </row>
    <row r="220" spans="1:11" ht="16.149999999999999" thickBot="1">
      <c r="A220" s="372" t="s">
        <v>431</v>
      </c>
      <c r="B220" s="373" t="s">
        <v>432</v>
      </c>
      <c r="C220" s="191"/>
      <c r="D220" s="191"/>
      <c r="E220" s="191"/>
      <c r="F220" s="191"/>
      <c r="G220" s="191"/>
      <c r="H220" s="191"/>
      <c r="I220" s="191"/>
      <c r="J220" s="191"/>
      <c r="K220" s="191"/>
    </row>
    <row r="221" spans="1:11">
      <c r="A221" s="191"/>
      <c r="B221" s="191"/>
      <c r="C221" s="191"/>
      <c r="D221" s="191"/>
      <c r="E221" s="191"/>
      <c r="F221" s="191"/>
      <c r="G221" s="191"/>
      <c r="H221" s="191"/>
      <c r="I221" s="191"/>
      <c r="J221" s="191"/>
      <c r="K221" s="191"/>
    </row>
    <row r="222" spans="1:11" ht="21">
      <c r="A222" s="976" t="s">
        <v>433</v>
      </c>
      <c r="B222" s="977"/>
      <c r="C222" s="977"/>
      <c r="D222" s="977"/>
      <c r="E222" s="977"/>
      <c r="F222" s="977"/>
      <c r="G222" s="977"/>
      <c r="H222" s="977"/>
      <c r="I222" s="977"/>
      <c r="J222" s="977"/>
      <c r="K222" s="977"/>
    </row>
    <row r="223" spans="1:11" ht="14.65" customHeight="1">
      <c r="A223" s="981" t="s">
        <v>434</v>
      </c>
      <c r="B223" s="981"/>
      <c r="C223" s="981"/>
      <c r="D223" s="981"/>
      <c r="E223" s="981"/>
      <c r="F223" s="981"/>
      <c r="G223" s="981"/>
      <c r="H223" s="981"/>
      <c r="I223" s="981"/>
      <c r="J223" s="981"/>
      <c r="K223" s="981"/>
    </row>
    <row r="224" spans="1:11">
      <c r="A224" s="981"/>
      <c r="B224" s="981"/>
      <c r="C224" s="981"/>
      <c r="D224" s="981"/>
      <c r="E224" s="981"/>
      <c r="F224" s="981"/>
      <c r="G224" s="981"/>
      <c r="H224" s="981"/>
      <c r="I224" s="981"/>
      <c r="J224" s="981"/>
      <c r="K224" s="981"/>
    </row>
    <row r="225" spans="1:11">
      <c r="A225" s="981"/>
      <c r="B225" s="981"/>
      <c r="C225" s="981"/>
      <c r="D225" s="981"/>
      <c r="E225" s="981"/>
      <c r="F225" s="981"/>
      <c r="G225" s="981"/>
      <c r="H225" s="981"/>
      <c r="I225" s="981"/>
      <c r="J225" s="981"/>
      <c r="K225" s="981"/>
    </row>
    <row r="227" spans="1:11" s="2" customFormat="1">
      <c r="A227" s="347">
        <v>20</v>
      </c>
      <c r="B227" s="347"/>
    </row>
    <row r="229" spans="1:11" ht="15.75">
      <c r="A229" s="374" t="s">
        <v>435</v>
      </c>
      <c r="B229" s="375">
        <v>1000000</v>
      </c>
      <c r="C229" s="191"/>
      <c r="D229" s="191"/>
      <c r="E229" s="191"/>
      <c r="F229" s="191"/>
      <c r="G229" s="191"/>
      <c r="H229" s="191"/>
      <c r="I229" s="191"/>
      <c r="J229" s="191"/>
      <c r="K229" s="191"/>
    </row>
    <row r="230" spans="1:11" ht="15.75">
      <c r="A230" s="374" t="s">
        <v>436</v>
      </c>
      <c r="B230" s="375">
        <v>40000</v>
      </c>
      <c r="C230" s="191"/>
      <c r="D230" s="191"/>
      <c r="E230" s="191"/>
      <c r="F230" s="191"/>
      <c r="G230" s="191"/>
      <c r="H230" s="191"/>
      <c r="I230" s="191"/>
      <c r="J230" s="191"/>
      <c r="K230" s="191"/>
    </row>
    <row r="231" spans="1:11" ht="15.75">
      <c r="A231" s="374" t="s">
        <v>437</v>
      </c>
      <c r="B231" s="376">
        <v>0.12</v>
      </c>
      <c r="C231" s="191"/>
      <c r="D231" s="191"/>
      <c r="E231" s="191"/>
      <c r="F231" s="191"/>
      <c r="G231" s="191"/>
      <c r="H231" s="191"/>
      <c r="I231" s="191"/>
      <c r="J231" s="191"/>
      <c r="K231" s="191"/>
    </row>
    <row r="232" spans="1:11" ht="15.75">
      <c r="A232" s="374" t="s">
        <v>438</v>
      </c>
      <c r="B232" s="376">
        <v>0.25</v>
      </c>
      <c r="C232" s="191"/>
      <c r="D232" s="191"/>
      <c r="E232" s="191"/>
      <c r="F232" s="191"/>
      <c r="G232" s="191"/>
      <c r="H232" s="191"/>
      <c r="I232" s="191"/>
      <c r="J232" s="191"/>
      <c r="K232" s="191"/>
    </row>
    <row r="233" spans="1:11" ht="15.75">
      <c r="A233" s="374" t="s">
        <v>439</v>
      </c>
      <c r="B233" s="376">
        <v>0.1</v>
      </c>
      <c r="C233" s="191"/>
      <c r="D233" s="191"/>
      <c r="E233" s="191"/>
      <c r="F233" s="191"/>
      <c r="G233" s="191"/>
      <c r="H233" s="191"/>
      <c r="I233" s="191"/>
      <c r="J233" s="191"/>
      <c r="K233" s="191"/>
    </row>
    <row r="234" spans="1:11" ht="15.75">
      <c r="A234" s="374" t="s">
        <v>440</v>
      </c>
      <c r="B234" s="377">
        <v>4</v>
      </c>
      <c r="C234" s="191"/>
      <c r="D234" s="191"/>
      <c r="E234" s="191"/>
      <c r="F234" s="191"/>
      <c r="G234" s="191"/>
      <c r="H234" s="191"/>
      <c r="I234" s="191"/>
      <c r="J234" s="191"/>
      <c r="K234" s="191"/>
    </row>
    <row r="235" spans="1:11" ht="15.75">
      <c r="A235" s="374" t="s">
        <v>84</v>
      </c>
      <c r="B235" s="376">
        <v>0.12</v>
      </c>
      <c r="C235" s="191"/>
      <c r="D235" s="191"/>
      <c r="E235" s="191"/>
      <c r="F235" s="191"/>
      <c r="G235" s="191"/>
      <c r="H235" s="191"/>
      <c r="I235" s="191"/>
      <c r="J235" s="191"/>
      <c r="K235" s="191"/>
    </row>
    <row r="236" spans="1:11" ht="15.75">
      <c r="A236" s="374" t="s">
        <v>441</v>
      </c>
      <c r="B236" s="378" t="s">
        <v>442</v>
      </c>
      <c r="C236" s="191"/>
      <c r="D236" s="191"/>
      <c r="E236" s="191"/>
      <c r="F236" s="191"/>
      <c r="G236" s="191"/>
      <c r="H236" s="191"/>
      <c r="I236" s="191"/>
      <c r="J236" s="191"/>
      <c r="K236" s="191"/>
    </row>
    <row r="237" spans="1:11">
      <c r="A237" s="191"/>
      <c r="B237" s="191"/>
      <c r="C237" s="191"/>
      <c r="D237" s="191"/>
      <c r="E237" s="191"/>
      <c r="F237" s="191"/>
      <c r="G237" s="191"/>
      <c r="H237" s="191"/>
      <c r="I237" s="191"/>
      <c r="J237" s="191"/>
      <c r="K237" s="191"/>
    </row>
    <row r="238" spans="1:11" ht="21">
      <c r="A238" s="976" t="s">
        <v>543</v>
      </c>
      <c r="B238" s="977"/>
      <c r="C238" s="977"/>
      <c r="D238" s="977"/>
      <c r="E238" s="977"/>
      <c r="F238" s="977"/>
      <c r="G238" s="977"/>
      <c r="H238" s="977"/>
      <c r="I238" s="977"/>
      <c r="J238" s="977"/>
      <c r="K238" s="977"/>
    </row>
    <row r="239" spans="1:11">
      <c r="A239" s="990" t="s">
        <v>544</v>
      </c>
      <c r="B239" s="981"/>
      <c r="C239" s="981"/>
      <c r="D239" s="981"/>
      <c r="E239" s="981"/>
      <c r="F239" s="981"/>
      <c r="G239" s="981"/>
      <c r="H239" s="981"/>
      <c r="I239" s="981"/>
      <c r="J239" s="981"/>
      <c r="K239" s="981"/>
    </row>
    <row r="240" spans="1:11">
      <c r="A240" s="983" t="s">
        <v>545</v>
      </c>
      <c r="B240" s="984"/>
      <c r="C240" s="984"/>
      <c r="D240" s="984"/>
      <c r="E240" s="984"/>
      <c r="F240" s="984"/>
      <c r="G240" s="984"/>
      <c r="H240" s="984"/>
      <c r="I240" s="984"/>
      <c r="J240" s="984"/>
      <c r="K240" s="984"/>
    </row>
    <row r="242" spans="1:11" s="2" customFormat="1">
      <c r="A242" s="347">
        <v>21</v>
      </c>
      <c r="B242" s="347"/>
    </row>
    <row r="244" spans="1:11" ht="15.75">
      <c r="A244" s="79" t="s">
        <v>540</v>
      </c>
      <c r="B244" s="448"/>
      <c r="C244" s="448"/>
      <c r="D244" s="448"/>
      <c r="E244" s="448"/>
      <c r="F244" s="448"/>
      <c r="G244" s="448"/>
      <c r="H244" s="448"/>
      <c r="I244" s="448"/>
      <c r="J244" s="448"/>
      <c r="K244" s="448"/>
    </row>
    <row r="245" spans="1:11" ht="15.75">
      <c r="A245" s="448"/>
      <c r="B245" s="448"/>
      <c r="C245" s="448"/>
      <c r="D245" s="448"/>
      <c r="E245" s="448"/>
      <c r="F245" s="448"/>
      <c r="G245" s="448"/>
      <c r="H245" s="448"/>
      <c r="I245" s="448"/>
      <c r="J245" s="448"/>
      <c r="K245" s="448"/>
    </row>
    <row r="246" spans="1:11" ht="15.75">
      <c r="A246" s="448"/>
      <c r="B246" s="448"/>
      <c r="C246" s="448"/>
      <c r="D246" s="448"/>
      <c r="E246" s="448"/>
      <c r="F246" s="448"/>
      <c r="G246" s="448"/>
      <c r="H246" s="448"/>
      <c r="I246" s="448"/>
      <c r="J246" s="448"/>
      <c r="K246" s="448"/>
    </row>
    <row r="247" spans="1:11" ht="16.149999999999999" thickBot="1">
      <c r="A247" s="448"/>
      <c r="B247" s="448"/>
      <c r="C247" s="448"/>
      <c r="D247" s="448"/>
      <c r="E247" s="448"/>
      <c r="F247" s="448"/>
      <c r="G247" s="448"/>
      <c r="H247" s="448"/>
      <c r="I247" s="448"/>
      <c r="J247" s="448"/>
      <c r="K247" s="448"/>
    </row>
    <row r="248" spans="1:11" ht="15.75">
      <c r="A248" s="448"/>
      <c r="B248" s="448"/>
      <c r="C248" s="1181" t="s">
        <v>541</v>
      </c>
      <c r="D248" s="1182"/>
      <c r="E248" s="448"/>
      <c r="F248" s="448"/>
      <c r="G248" s="448"/>
      <c r="H248" s="448"/>
      <c r="I248" s="448"/>
      <c r="J248" s="448"/>
      <c r="K248" s="448"/>
    </row>
    <row r="249" spans="1:11" ht="15.75">
      <c r="A249" s="448"/>
      <c r="B249" s="448"/>
      <c r="C249" s="449" t="s">
        <v>383</v>
      </c>
      <c r="D249" s="450">
        <v>250000</v>
      </c>
      <c r="E249" s="448"/>
      <c r="F249" s="448"/>
      <c r="G249" s="448"/>
      <c r="H249" s="448"/>
      <c r="I249" s="448"/>
      <c r="J249" s="448"/>
      <c r="K249" s="448"/>
    </row>
    <row r="250" spans="1:11" ht="15.75">
      <c r="A250" s="448"/>
      <c r="B250" s="448"/>
      <c r="C250" s="449" t="s">
        <v>384</v>
      </c>
      <c r="D250" s="451">
        <v>0.99</v>
      </c>
      <c r="E250" s="448"/>
      <c r="F250" s="448"/>
      <c r="G250" s="448"/>
      <c r="H250" s="448"/>
      <c r="I250" s="448"/>
      <c r="J250" s="448"/>
      <c r="K250" s="448"/>
    </row>
    <row r="251" spans="1:11" ht="15.75">
      <c r="A251" s="448"/>
      <c r="B251" s="448"/>
      <c r="C251" s="449" t="s">
        <v>455</v>
      </c>
      <c r="D251" s="452">
        <v>0.1</v>
      </c>
      <c r="E251" s="448"/>
      <c r="F251" s="448"/>
      <c r="G251" s="448"/>
      <c r="H251" s="448"/>
      <c r="I251" s="448"/>
      <c r="J251" s="448"/>
      <c r="K251" s="448"/>
    </row>
    <row r="252" spans="1:11" ht="16.149999999999999" thickBot="1">
      <c r="A252" s="448"/>
      <c r="B252" s="448"/>
      <c r="C252" s="453" t="s">
        <v>474</v>
      </c>
      <c r="D252" s="454">
        <v>0.105</v>
      </c>
      <c r="E252" s="448"/>
      <c r="F252" s="448"/>
      <c r="G252" s="448"/>
      <c r="H252" s="448"/>
      <c r="I252" s="448"/>
      <c r="J252" s="448"/>
      <c r="K252" s="448"/>
    </row>
    <row r="253" spans="1:11" ht="15.75">
      <c r="A253" s="448"/>
      <c r="B253" s="448"/>
      <c r="C253" s="448"/>
      <c r="D253" s="448"/>
      <c r="E253" s="448"/>
      <c r="F253" s="448"/>
      <c r="G253" s="448"/>
      <c r="H253" s="448"/>
      <c r="I253" s="448"/>
      <c r="J253" s="448"/>
      <c r="K253" s="448"/>
    </row>
    <row r="254" spans="1:11" ht="15.75">
      <c r="A254" s="448"/>
      <c r="B254" s="448"/>
      <c r="C254" s="448"/>
      <c r="D254" s="448"/>
      <c r="E254" s="448"/>
      <c r="F254" s="448"/>
      <c r="G254" s="448"/>
      <c r="H254" s="448"/>
      <c r="I254" s="448"/>
      <c r="J254" s="448"/>
      <c r="K254" s="448"/>
    </row>
    <row r="255" spans="1:11" ht="15.75">
      <c r="A255" s="448"/>
      <c r="B255" s="448"/>
      <c r="C255" s="448"/>
      <c r="D255" s="448"/>
      <c r="E255" s="448"/>
      <c r="F255" s="448"/>
      <c r="G255" s="448"/>
      <c r="H255" s="448"/>
      <c r="I255" s="448"/>
      <c r="J255" s="448"/>
      <c r="K255" s="448"/>
    </row>
    <row r="256" spans="1:11" ht="15.75">
      <c r="A256" s="448"/>
      <c r="B256" s="448"/>
      <c r="C256" s="448"/>
      <c r="D256" s="448"/>
      <c r="E256" s="448"/>
      <c r="F256" s="448"/>
      <c r="G256" s="448"/>
      <c r="H256" s="448"/>
      <c r="I256" s="448"/>
      <c r="J256" s="448"/>
      <c r="K256" s="448"/>
    </row>
    <row r="257" spans="1:11" ht="15.75">
      <c r="A257" s="1031" t="s">
        <v>546</v>
      </c>
      <c r="B257" s="1032"/>
      <c r="C257" s="1032"/>
      <c r="D257" s="1032"/>
      <c r="E257" s="1032"/>
      <c r="F257" s="1032"/>
      <c r="G257" s="1032"/>
      <c r="H257" s="1032"/>
      <c r="I257" s="1032"/>
      <c r="J257" s="1032"/>
      <c r="K257" s="1032"/>
    </row>
    <row r="258" spans="1:11" ht="15.6" customHeight="1">
      <c r="A258" s="1183" t="s">
        <v>542</v>
      </c>
      <c r="B258" s="1183"/>
      <c r="C258" s="1183"/>
      <c r="D258" s="1183"/>
      <c r="E258" s="1183"/>
      <c r="F258" s="1183"/>
      <c r="G258" s="1183"/>
      <c r="H258" s="1183"/>
      <c r="I258" s="1183"/>
      <c r="J258" s="1183"/>
      <c r="K258" s="1183"/>
    </row>
    <row r="259" spans="1:11" ht="14.65" customHeight="1">
      <c r="A259" s="973"/>
      <c r="B259" s="973"/>
      <c r="C259" s="973"/>
      <c r="D259" s="973"/>
      <c r="E259" s="973"/>
      <c r="F259" s="973"/>
      <c r="G259" s="973"/>
      <c r="H259" s="973"/>
      <c r="I259" s="973"/>
      <c r="J259" s="973"/>
      <c r="K259" s="973"/>
    </row>
    <row r="260" spans="1:11" ht="14.65" customHeight="1">
      <c r="A260" s="973"/>
      <c r="B260" s="973"/>
      <c r="C260" s="973"/>
      <c r="D260" s="973"/>
      <c r="E260" s="973"/>
      <c r="F260" s="973"/>
      <c r="G260" s="973"/>
      <c r="H260" s="973"/>
      <c r="I260" s="973"/>
      <c r="J260" s="973"/>
      <c r="K260" s="973"/>
    </row>
    <row r="261" spans="1:11">
      <c r="A261" s="973"/>
      <c r="B261" s="973"/>
      <c r="C261" s="973"/>
      <c r="D261" s="973"/>
      <c r="E261" s="973"/>
      <c r="F261" s="973"/>
      <c r="G261" s="973"/>
      <c r="H261" s="973"/>
      <c r="I261" s="973"/>
      <c r="J261" s="973"/>
      <c r="K261" s="973"/>
    </row>
    <row r="263" spans="1:11" s="2" customFormat="1">
      <c r="A263" s="347">
        <v>22</v>
      </c>
      <c r="B263" s="347"/>
    </row>
    <row r="265" spans="1:11" ht="21.4" thickBot="1">
      <c r="A265" s="976" t="s">
        <v>610</v>
      </c>
      <c r="B265" s="977"/>
      <c r="C265" s="977"/>
      <c r="D265" s="977"/>
      <c r="E265" s="977"/>
      <c r="F265" s="977"/>
      <c r="G265" s="977"/>
      <c r="H265" s="977"/>
      <c r="I265" s="977"/>
      <c r="J265" s="977"/>
      <c r="K265" s="1042"/>
    </row>
    <row r="266" spans="1:11" ht="21.4" thickBot="1">
      <c r="A266" s="507" t="s">
        <v>605</v>
      </c>
      <c r="B266" s="508" t="s">
        <v>130</v>
      </c>
      <c r="C266" s="509" t="s">
        <v>131</v>
      </c>
      <c r="D266" s="510" t="s">
        <v>132</v>
      </c>
      <c r="E266" s="511"/>
      <c r="F266" s="511"/>
      <c r="G266" s="511"/>
      <c r="H266" s="511"/>
      <c r="I266" s="511"/>
      <c r="J266" s="511"/>
      <c r="K266" s="512"/>
    </row>
    <row r="267" spans="1:11" ht="21">
      <c r="A267" s="513" t="s">
        <v>455</v>
      </c>
      <c r="B267" s="514">
        <v>0.18</v>
      </c>
      <c r="C267" s="515">
        <v>0.13</v>
      </c>
      <c r="D267" s="516">
        <v>0.15</v>
      </c>
      <c r="E267" s="511"/>
      <c r="F267" s="511"/>
      <c r="G267" s="511"/>
      <c r="H267" s="511"/>
      <c r="I267" s="511"/>
      <c r="J267" s="511"/>
      <c r="K267" s="512"/>
    </row>
    <row r="268" spans="1:11" ht="21">
      <c r="A268" s="517" t="s">
        <v>383</v>
      </c>
      <c r="B268" s="518" t="s">
        <v>606</v>
      </c>
      <c r="C268" s="519">
        <v>100000</v>
      </c>
      <c r="D268" s="520" t="s">
        <v>606</v>
      </c>
      <c r="E268" s="511"/>
      <c r="F268" s="511"/>
      <c r="G268" s="511"/>
      <c r="H268" s="511"/>
      <c r="I268" s="511"/>
      <c r="J268" s="511"/>
      <c r="K268" s="512"/>
    </row>
    <row r="269" spans="1:11" ht="21">
      <c r="A269" s="517" t="s">
        <v>454</v>
      </c>
      <c r="B269" s="521">
        <v>3</v>
      </c>
      <c r="C269" s="522">
        <v>6</v>
      </c>
      <c r="D269" s="523">
        <v>4</v>
      </c>
      <c r="E269" s="511"/>
      <c r="F269" s="511"/>
      <c r="G269" s="511"/>
      <c r="H269" s="511"/>
      <c r="I269" s="511"/>
      <c r="J269" s="511"/>
      <c r="K269" s="512"/>
    </row>
    <row r="270" spans="1:11" ht="21">
      <c r="A270" s="517" t="s">
        <v>474</v>
      </c>
      <c r="B270" s="524" t="s">
        <v>606</v>
      </c>
      <c r="C270" s="525">
        <v>0.1</v>
      </c>
      <c r="D270" s="526">
        <v>0.16</v>
      </c>
      <c r="E270" s="511"/>
      <c r="F270" s="511"/>
      <c r="G270" s="511"/>
      <c r="H270" s="511"/>
      <c r="I270" s="511"/>
      <c r="J270" s="511"/>
      <c r="K270" s="512"/>
    </row>
    <row r="271" spans="1:11" ht="21.4" thickBot="1">
      <c r="A271" s="527" t="s">
        <v>607</v>
      </c>
      <c r="B271" s="528">
        <v>2000000</v>
      </c>
      <c r="C271" s="529">
        <v>2100000</v>
      </c>
      <c r="D271" s="530">
        <v>1900000</v>
      </c>
      <c r="E271" s="511"/>
      <c r="F271" s="511"/>
      <c r="G271" s="511"/>
      <c r="H271" s="511"/>
      <c r="I271" s="511"/>
      <c r="J271" s="511"/>
      <c r="K271" s="512"/>
    </row>
    <row r="272" spans="1:11" ht="21.4" thickBot="1">
      <c r="A272" s="531" t="s">
        <v>608</v>
      </c>
      <c r="B272" s="532"/>
      <c r="E272" s="511"/>
      <c r="F272" s="511"/>
      <c r="G272" s="511"/>
      <c r="H272" s="511"/>
      <c r="I272" s="511"/>
      <c r="J272" s="511"/>
      <c r="K272" s="512"/>
    </row>
    <row r="273" spans="1:12" ht="21">
      <c r="A273" s="1140"/>
      <c r="B273" s="1141"/>
      <c r="C273" s="1141"/>
      <c r="D273" s="1141"/>
      <c r="E273" s="1141"/>
      <c r="F273" s="1141"/>
      <c r="G273" s="1141"/>
      <c r="H273" s="1141"/>
      <c r="I273" s="1141"/>
      <c r="J273" s="1141"/>
      <c r="K273" s="1142"/>
    </row>
    <row r="274" spans="1:12" ht="21" customHeight="1">
      <c r="A274" s="1179" t="s">
        <v>609</v>
      </c>
      <c r="B274" s="1179"/>
      <c r="C274" s="1179"/>
      <c r="D274" s="1179"/>
      <c r="E274" s="1179"/>
      <c r="F274" s="1179"/>
      <c r="G274" s="1179"/>
      <c r="H274" s="1179"/>
      <c r="I274" s="1179"/>
      <c r="J274" s="1179"/>
      <c r="K274" s="1179"/>
    </row>
    <row r="275" spans="1:12">
      <c r="A275" s="1180"/>
      <c r="B275" s="1180"/>
      <c r="C275" s="1180"/>
      <c r="D275" s="1180"/>
      <c r="E275" s="1180"/>
      <c r="F275" s="1180"/>
      <c r="G275" s="1180"/>
      <c r="H275" s="1180"/>
      <c r="I275" s="1180"/>
      <c r="J275" s="1180"/>
      <c r="K275" s="1180"/>
    </row>
    <row r="276" spans="1:12">
      <c r="A276" s="1180"/>
      <c r="B276" s="1180"/>
      <c r="C276" s="1180"/>
      <c r="D276" s="1180"/>
      <c r="E276" s="1180"/>
      <c r="F276" s="1180"/>
      <c r="G276" s="1180"/>
      <c r="H276" s="1180"/>
      <c r="I276" s="1180"/>
      <c r="J276" s="1180"/>
      <c r="K276" s="1180"/>
    </row>
    <row r="277" spans="1:12">
      <c r="A277" s="1180"/>
      <c r="B277" s="1180"/>
      <c r="C277" s="1180"/>
      <c r="D277" s="1180"/>
      <c r="E277" s="1180"/>
      <c r="F277" s="1180"/>
      <c r="G277" s="1180"/>
      <c r="H277" s="1180"/>
      <c r="I277" s="1180"/>
      <c r="J277" s="1180"/>
      <c r="K277" s="1180"/>
    </row>
    <row r="279" spans="1:12" s="2" customFormat="1">
      <c r="A279" s="347">
        <v>23</v>
      </c>
      <c r="B279" s="347"/>
    </row>
    <row r="281" spans="1:12" ht="18.399999999999999" thickBot="1">
      <c r="A281" s="1164" t="str">
        <f>"Question 5 - Points "&amp;SUM(L282:L289)</f>
        <v>Question 5 - Points 6</v>
      </c>
      <c r="B281" s="1165"/>
      <c r="C281" s="1165"/>
      <c r="D281" s="1165"/>
      <c r="E281" s="1165"/>
      <c r="F281" s="1165"/>
      <c r="G281" s="1165"/>
      <c r="H281" s="1165"/>
      <c r="I281" s="1165"/>
      <c r="J281" s="1165"/>
      <c r="K281" s="1166"/>
      <c r="L281" s="558" t="s">
        <v>635</v>
      </c>
    </row>
    <row r="282" spans="1:12" ht="18.399999999999999" thickBot="1">
      <c r="A282" s="507" t="s">
        <v>605</v>
      </c>
      <c r="B282" s="611" t="s">
        <v>130</v>
      </c>
      <c r="C282" s="612" t="s">
        <v>131</v>
      </c>
      <c r="D282" s="613" t="s">
        <v>132</v>
      </c>
      <c r="E282" s="614"/>
      <c r="F282" s="614"/>
      <c r="G282" s="614"/>
      <c r="H282" s="614"/>
      <c r="I282" s="614"/>
      <c r="J282" s="614"/>
      <c r="K282" s="615"/>
      <c r="L282" s="616">
        <v>6</v>
      </c>
    </row>
    <row r="283" spans="1:12" ht="18">
      <c r="A283" s="617" t="s">
        <v>455</v>
      </c>
      <c r="B283" s="618">
        <v>0.18</v>
      </c>
      <c r="C283" s="619">
        <v>0.13</v>
      </c>
      <c r="D283" s="620" t="s">
        <v>606</v>
      </c>
      <c r="E283" s="614"/>
      <c r="F283" s="614"/>
      <c r="G283" s="614"/>
      <c r="H283" s="614"/>
      <c r="I283" s="614"/>
      <c r="J283" s="614"/>
      <c r="K283" s="615"/>
      <c r="L283" s="559"/>
    </row>
    <row r="284" spans="1:12" ht="18">
      <c r="A284" s="621" t="s">
        <v>654</v>
      </c>
      <c r="B284" s="622">
        <v>90000</v>
      </c>
      <c r="C284" s="623">
        <v>100000</v>
      </c>
      <c r="D284" s="624">
        <v>105000</v>
      </c>
      <c r="E284" s="614"/>
      <c r="F284" s="614"/>
      <c r="G284" s="614"/>
      <c r="H284" s="614"/>
      <c r="I284" s="614"/>
      <c r="J284" s="614"/>
      <c r="K284" s="615"/>
      <c r="L284" s="559"/>
    </row>
    <row r="285" spans="1:12" ht="18">
      <c r="A285" s="621" t="s">
        <v>454</v>
      </c>
      <c r="B285" s="625">
        <v>3</v>
      </c>
      <c r="C285" s="626">
        <v>3.5</v>
      </c>
      <c r="D285" s="620" t="s">
        <v>606</v>
      </c>
      <c r="E285" s="614"/>
      <c r="F285" s="614"/>
      <c r="G285" s="614"/>
      <c r="H285" s="614"/>
      <c r="I285" s="614"/>
      <c r="J285" s="614"/>
      <c r="K285" s="615"/>
      <c r="L285" s="559"/>
    </row>
    <row r="286" spans="1:12" ht="18">
      <c r="A286" s="621" t="s">
        <v>474</v>
      </c>
      <c r="B286" s="627" t="s">
        <v>606</v>
      </c>
      <c r="C286" s="628">
        <v>0.1</v>
      </c>
      <c r="D286" s="629">
        <v>0.16</v>
      </c>
      <c r="E286" s="614"/>
      <c r="F286" s="614"/>
      <c r="G286" s="614"/>
      <c r="H286" s="614"/>
      <c r="I286" s="614"/>
      <c r="J286" s="614"/>
      <c r="K286" s="615"/>
      <c r="L286" s="559"/>
    </row>
    <row r="287" spans="1:12" ht="18.399999999999999" thickBot="1">
      <c r="A287" s="630" t="s">
        <v>655</v>
      </c>
      <c r="B287" s="631">
        <v>1500000</v>
      </c>
      <c r="C287" s="632">
        <v>2100000</v>
      </c>
      <c r="D287" s="633">
        <v>2200000</v>
      </c>
      <c r="E287" s="614"/>
      <c r="F287" s="614"/>
      <c r="G287" s="614"/>
      <c r="H287" s="614"/>
      <c r="I287" s="614"/>
      <c r="J287" s="614"/>
      <c r="K287" s="615"/>
      <c r="L287" s="559"/>
    </row>
    <row r="288" spans="1:12" ht="18.399999999999999" thickBot="1">
      <c r="A288" s="531" t="s">
        <v>608</v>
      </c>
      <c r="B288" s="634"/>
      <c r="C288" s="635"/>
      <c r="D288" s="635"/>
      <c r="E288" s="614"/>
      <c r="F288" s="614"/>
      <c r="G288" s="614"/>
      <c r="H288" s="614"/>
      <c r="I288" s="614"/>
      <c r="J288" s="614"/>
      <c r="K288" s="615"/>
      <c r="L288" s="559"/>
    </row>
    <row r="289" spans="1:12" ht="18">
      <c r="A289" s="1167"/>
      <c r="B289" s="1168"/>
      <c r="C289" s="1168"/>
      <c r="D289" s="1168"/>
      <c r="E289" s="1168"/>
      <c r="F289" s="1168"/>
      <c r="G289" s="1168"/>
      <c r="H289" s="1168"/>
      <c r="I289" s="1168"/>
      <c r="J289" s="1168"/>
      <c r="K289" s="1169"/>
      <c r="L289" s="616"/>
    </row>
    <row r="290" spans="1:12" ht="73.5" customHeight="1">
      <c r="A290" s="1170" t="s">
        <v>656</v>
      </c>
      <c r="B290" s="1171"/>
      <c r="C290" s="1171"/>
      <c r="D290" s="1171"/>
      <c r="E290" s="1171"/>
      <c r="F290" s="1171"/>
      <c r="G290" s="1171"/>
      <c r="H290" s="1171"/>
      <c r="I290" s="1171"/>
      <c r="J290" s="1171"/>
      <c r="K290" s="1172"/>
      <c r="L290" s="636"/>
    </row>
    <row r="292" spans="1:12" s="2" customFormat="1">
      <c r="A292" s="347">
        <v>24</v>
      </c>
      <c r="B292" s="347"/>
    </row>
    <row r="294" spans="1:12" ht="18.399999999999999" thickBot="1">
      <c r="A294" s="1164" t="s">
        <v>812</v>
      </c>
      <c r="B294" s="1165"/>
      <c r="C294" s="1165"/>
      <c r="D294" s="1165"/>
      <c r="E294" s="1165"/>
      <c r="F294" s="1165"/>
      <c r="G294" s="1165"/>
      <c r="H294" s="1165"/>
      <c r="I294" s="1165"/>
      <c r="J294" s="1165"/>
      <c r="K294" s="1166"/>
      <c r="L294" s="558" t="s">
        <v>635</v>
      </c>
    </row>
    <row r="295" spans="1:12" ht="18.399999999999999" thickBot="1">
      <c r="A295" s="507" t="s">
        <v>510</v>
      </c>
      <c r="B295" s="611" t="s">
        <v>455</v>
      </c>
      <c r="C295" s="612" t="s">
        <v>383</v>
      </c>
      <c r="D295" s="613" t="s">
        <v>474</v>
      </c>
      <c r="E295" s="614"/>
      <c r="F295" s="614"/>
      <c r="G295" s="614"/>
      <c r="H295" s="614"/>
      <c r="I295" s="614"/>
      <c r="J295" s="614"/>
      <c r="K295" s="615"/>
      <c r="L295" s="616">
        <v>6</v>
      </c>
    </row>
    <row r="296" spans="1:12" ht="18">
      <c r="A296" s="617" t="s">
        <v>130</v>
      </c>
      <c r="B296" s="763">
        <v>0.2</v>
      </c>
      <c r="C296" s="767">
        <v>100000</v>
      </c>
      <c r="D296" s="766">
        <v>0.21</v>
      </c>
      <c r="E296" s="614"/>
      <c r="F296" s="614"/>
      <c r="G296" s="614"/>
      <c r="H296" s="614"/>
      <c r="I296" s="614"/>
      <c r="J296" s="614"/>
      <c r="K296" s="615"/>
      <c r="L296" s="559"/>
    </row>
    <row r="297" spans="1:12" ht="18">
      <c r="A297" s="621" t="s">
        <v>131</v>
      </c>
      <c r="B297" s="764">
        <v>0.1</v>
      </c>
      <c r="C297" s="767">
        <v>-20000</v>
      </c>
      <c r="D297" s="766">
        <v>0.11</v>
      </c>
      <c r="E297" s="614"/>
      <c r="F297" s="614"/>
      <c r="G297" s="614"/>
      <c r="H297" s="614"/>
      <c r="I297" s="614"/>
      <c r="J297" s="614"/>
      <c r="K297" s="615"/>
      <c r="L297" s="559"/>
    </row>
    <row r="298" spans="1:12" ht="18">
      <c r="A298" s="621" t="s">
        <v>132</v>
      </c>
      <c r="B298" s="765">
        <v>0.12</v>
      </c>
      <c r="C298" s="767">
        <v>23000</v>
      </c>
      <c r="D298" s="766">
        <v>0.1</v>
      </c>
      <c r="E298" s="614"/>
      <c r="F298" s="614"/>
      <c r="G298" s="614"/>
      <c r="H298" s="614"/>
      <c r="I298" s="614"/>
      <c r="J298" s="614"/>
      <c r="K298" s="615"/>
      <c r="L298" s="559"/>
    </row>
    <row r="299" spans="1:12" ht="18">
      <c r="A299" s="1167"/>
      <c r="B299" s="1168"/>
      <c r="C299" s="1168"/>
      <c r="D299" s="1168"/>
      <c r="E299" s="1168"/>
      <c r="F299" s="1168"/>
      <c r="G299" s="1168"/>
      <c r="H299" s="1168"/>
      <c r="I299" s="1168"/>
      <c r="J299" s="1168"/>
      <c r="K299" s="1169"/>
      <c r="L299" s="616"/>
    </row>
    <row r="300" spans="1:12" ht="18">
      <c r="A300" s="1170" t="s">
        <v>813</v>
      </c>
      <c r="B300" s="1171"/>
      <c r="C300" s="1171"/>
      <c r="D300" s="1171"/>
      <c r="E300" s="1171"/>
      <c r="F300" s="1171"/>
      <c r="G300" s="1171"/>
      <c r="H300" s="1171"/>
      <c r="I300" s="1171"/>
      <c r="J300" s="1171"/>
      <c r="K300" s="1172"/>
      <c r="L300" s="636"/>
    </row>
    <row r="301" spans="1:12" ht="18" customHeight="1">
      <c r="A301" s="1196" t="s">
        <v>839</v>
      </c>
      <c r="B301" s="1196"/>
      <c r="C301" s="1196"/>
      <c r="D301" s="1196"/>
      <c r="E301" s="1196"/>
      <c r="F301" s="1196"/>
      <c r="G301" s="1196"/>
      <c r="H301" s="1196"/>
      <c r="I301" s="1196"/>
      <c r="J301" s="1196"/>
      <c r="K301" s="1196"/>
      <c r="L301" s="636">
        <v>6</v>
      </c>
    </row>
    <row r="302" spans="1:12" ht="18">
      <c r="A302" s="1197"/>
      <c r="B302" s="1197"/>
      <c r="C302" s="1197"/>
      <c r="D302" s="1197"/>
      <c r="E302" s="1197"/>
      <c r="F302" s="1197"/>
      <c r="G302" s="1197"/>
      <c r="H302" s="1197"/>
      <c r="I302" s="1197"/>
      <c r="J302" s="1197"/>
      <c r="K302" s="1197"/>
      <c r="L302" s="636"/>
    </row>
    <row r="303" spans="1:12" ht="18">
      <c r="A303" s="1197"/>
      <c r="B303" s="1197"/>
      <c r="C303" s="1197"/>
      <c r="D303" s="1197"/>
      <c r="E303" s="1197"/>
      <c r="F303" s="1197"/>
      <c r="G303" s="1197"/>
      <c r="H303" s="1197"/>
      <c r="I303" s="1197"/>
      <c r="J303" s="1197"/>
      <c r="K303" s="1197"/>
      <c r="L303" s="636"/>
    </row>
    <row r="305" spans="1:12" s="2" customFormat="1">
      <c r="A305" s="347">
        <v>25</v>
      </c>
      <c r="B305" s="347"/>
    </row>
    <row r="307" spans="1:12" ht="15.75">
      <c r="A307" s="1184" t="s">
        <v>819</v>
      </c>
      <c r="B307" s="1185"/>
      <c r="C307" s="1185"/>
      <c r="D307" s="1185"/>
      <c r="E307" s="1185"/>
      <c r="F307" s="1185"/>
      <c r="G307" s="1185"/>
      <c r="H307" s="1185"/>
      <c r="I307" s="1185"/>
      <c r="J307" s="1185"/>
      <c r="K307" s="1185"/>
      <c r="L307" s="1186"/>
    </row>
    <row r="308" spans="1:12" ht="15.75">
      <c r="A308" s="769" t="s">
        <v>820</v>
      </c>
      <c r="B308" s="770"/>
      <c r="C308" s="770"/>
      <c r="D308" s="770"/>
      <c r="E308" s="770"/>
      <c r="F308" s="770"/>
      <c r="G308" s="770"/>
      <c r="H308" s="770"/>
      <c r="I308" s="770"/>
      <c r="J308" s="770"/>
      <c r="K308" s="770"/>
      <c r="L308" s="771"/>
    </row>
    <row r="310" spans="1:12" s="2" customFormat="1">
      <c r="A310" s="347">
        <v>26</v>
      </c>
      <c r="B310" s="347"/>
    </row>
    <row r="312" spans="1:12" ht="36.4" customHeight="1">
      <c r="A312" s="1187" t="s">
        <v>821</v>
      </c>
      <c r="B312" s="1188"/>
      <c r="C312" s="1188"/>
      <c r="D312" s="1188"/>
      <c r="E312" s="1188"/>
      <c r="F312" s="1188"/>
      <c r="G312" s="1188"/>
      <c r="H312" s="1188"/>
      <c r="I312" s="1188"/>
      <c r="J312" s="1188"/>
      <c r="K312" s="1188"/>
      <c r="L312" s="1189"/>
    </row>
    <row r="313" spans="1:12" ht="15.75">
      <c r="A313" s="1190" t="s">
        <v>822</v>
      </c>
      <c r="B313" s="1191"/>
      <c r="C313" s="1191"/>
      <c r="D313" s="1191"/>
      <c r="E313" s="1191"/>
      <c r="F313" s="1191"/>
      <c r="G313" s="1191"/>
      <c r="H313" s="1191"/>
      <c r="I313" s="1191"/>
      <c r="J313" s="1191"/>
      <c r="K313" s="1191"/>
      <c r="L313" s="1192"/>
    </row>
    <row r="314" spans="1:12" ht="15.75">
      <c r="A314" s="1193" t="s">
        <v>823</v>
      </c>
      <c r="B314" s="1194"/>
      <c r="C314" s="1194"/>
      <c r="D314" s="1194"/>
      <c r="E314" s="1194"/>
      <c r="F314" s="1194"/>
      <c r="G314" s="1194"/>
      <c r="H314" s="1194"/>
      <c r="I314" s="1194"/>
      <c r="J314" s="1194"/>
      <c r="K314" s="1194"/>
      <c r="L314" s="1195"/>
    </row>
    <row r="328" spans="1:12" s="2" customFormat="1">
      <c r="A328" s="347">
        <v>27</v>
      </c>
      <c r="B328" s="347"/>
    </row>
    <row r="330" spans="1:12" ht="18.399999999999999" thickBot="1">
      <c r="A330" s="1164" t="s">
        <v>812</v>
      </c>
      <c r="B330" s="1165"/>
      <c r="C330" s="1165"/>
      <c r="D330" s="1165"/>
      <c r="E330" s="1165"/>
      <c r="F330" s="1165"/>
      <c r="G330" s="1165"/>
      <c r="H330" s="1165"/>
      <c r="I330" s="1165"/>
      <c r="J330" s="1165"/>
      <c r="K330" s="1166"/>
      <c r="L330" s="558" t="s">
        <v>635</v>
      </c>
    </row>
    <row r="331" spans="1:12" ht="18.399999999999999" thickBot="1">
      <c r="A331" s="507" t="s">
        <v>510</v>
      </c>
      <c r="B331" s="611" t="s">
        <v>474</v>
      </c>
      <c r="C331" s="612" t="s">
        <v>383</v>
      </c>
      <c r="D331" s="613" t="s">
        <v>384</v>
      </c>
      <c r="E331" s="611" t="s">
        <v>455</v>
      </c>
      <c r="F331" s="612" t="s">
        <v>435</v>
      </c>
      <c r="G331" s="614"/>
      <c r="H331" s="614"/>
      <c r="I331" s="614"/>
      <c r="J331" s="614"/>
      <c r="K331" s="615"/>
      <c r="L331" s="616">
        <v>6</v>
      </c>
    </row>
    <row r="332" spans="1:12" ht="18">
      <c r="A332" s="617" t="s">
        <v>130</v>
      </c>
      <c r="B332" s="763">
        <v>0.08</v>
      </c>
      <c r="C332" s="767">
        <v>100000</v>
      </c>
      <c r="D332" s="775">
        <v>2</v>
      </c>
      <c r="E332" s="763">
        <v>0.09</v>
      </c>
      <c r="F332" s="767"/>
      <c r="G332" s="614"/>
      <c r="H332" s="614"/>
      <c r="I332" s="614"/>
      <c r="J332" s="614"/>
      <c r="K332" s="615"/>
      <c r="L332" s="559"/>
    </row>
    <row r="333" spans="1:12" ht="18">
      <c r="A333" s="621" t="s">
        <v>131</v>
      </c>
      <c r="B333" s="764"/>
      <c r="C333" s="767">
        <v>100000</v>
      </c>
      <c r="D333" s="775">
        <v>1.5</v>
      </c>
      <c r="E333" s="764"/>
      <c r="F333" s="767"/>
      <c r="G333" s="614"/>
      <c r="H333" s="614"/>
      <c r="I333" s="614"/>
      <c r="J333" s="614"/>
      <c r="K333" s="615"/>
      <c r="L333" s="559"/>
    </row>
    <row r="334" spans="1:12" ht="18">
      <c r="A334" s="621" t="s">
        <v>132</v>
      </c>
      <c r="B334" s="765">
        <v>0.1</v>
      </c>
      <c r="C334" s="776">
        <v>0</v>
      </c>
      <c r="D334" s="775">
        <v>1</v>
      </c>
      <c r="E334" s="765">
        <v>0.1</v>
      </c>
      <c r="F334" s="767">
        <v>100000</v>
      </c>
      <c r="G334" s="614"/>
      <c r="H334" s="614"/>
      <c r="I334" s="614"/>
      <c r="J334" s="614"/>
      <c r="K334" s="615"/>
      <c r="L334" s="559"/>
    </row>
    <row r="335" spans="1:12" ht="18">
      <c r="A335" s="621" t="s">
        <v>854</v>
      </c>
      <c r="B335" s="765">
        <v>0.05</v>
      </c>
      <c r="C335" s="767"/>
      <c r="D335" s="777"/>
      <c r="E335" s="765">
        <v>0.04</v>
      </c>
      <c r="F335" s="767">
        <v>200000</v>
      </c>
      <c r="G335" s="614"/>
      <c r="H335" s="614"/>
      <c r="I335" s="614"/>
      <c r="J335" s="614"/>
      <c r="K335" s="615"/>
      <c r="L335" s="559"/>
    </row>
    <row r="336" spans="1:12" ht="18">
      <c r="A336" s="1167"/>
      <c r="B336" s="1168"/>
      <c r="C336" s="1168"/>
      <c r="D336" s="1168"/>
      <c r="E336" s="1168"/>
      <c r="F336" s="1168"/>
      <c r="G336" s="1168"/>
      <c r="H336" s="1168"/>
      <c r="I336" s="1168"/>
      <c r="J336" s="1168"/>
      <c r="K336" s="1169"/>
      <c r="L336" s="616"/>
    </row>
    <row r="337" spans="1:12" ht="61.15" customHeight="1">
      <c r="A337" s="1170" t="s">
        <v>855</v>
      </c>
      <c r="B337" s="1171"/>
      <c r="C337" s="1171"/>
      <c r="D337" s="1171"/>
      <c r="E337" s="1171"/>
      <c r="F337" s="1171"/>
      <c r="G337" s="1171"/>
      <c r="H337" s="1171"/>
      <c r="I337" s="1171"/>
      <c r="J337" s="1171"/>
      <c r="K337" s="1172"/>
      <c r="L337" s="636"/>
    </row>
    <row r="338" spans="1:12" ht="18" customHeight="1">
      <c r="A338" s="1196" t="s">
        <v>856</v>
      </c>
      <c r="B338" s="1196"/>
      <c r="C338" s="1196"/>
      <c r="D338" s="1196"/>
      <c r="E338" s="1196"/>
      <c r="F338" s="1196"/>
      <c r="G338" s="1196"/>
      <c r="H338" s="1196"/>
      <c r="I338" s="1196"/>
      <c r="J338" s="1196"/>
      <c r="K338" s="1196"/>
      <c r="L338" s="636">
        <v>6</v>
      </c>
    </row>
    <row r="339" spans="1:12" ht="18">
      <c r="A339" s="1197"/>
      <c r="B339" s="1197"/>
      <c r="C339" s="1197"/>
      <c r="D339" s="1197"/>
      <c r="E339" s="1197"/>
      <c r="F339" s="1197"/>
      <c r="G339" s="1197"/>
      <c r="H339" s="1197"/>
      <c r="I339" s="1197"/>
      <c r="J339" s="1197"/>
      <c r="K339" s="1197"/>
      <c r="L339" s="636"/>
    </row>
    <row r="340" spans="1:12" ht="18">
      <c r="A340" s="1197"/>
      <c r="B340" s="1197"/>
      <c r="C340" s="1197"/>
      <c r="D340" s="1197"/>
      <c r="E340" s="1197"/>
      <c r="F340" s="1197"/>
      <c r="G340" s="1197"/>
      <c r="H340" s="1197"/>
      <c r="I340" s="1197"/>
      <c r="J340" s="1197"/>
      <c r="K340" s="1197"/>
      <c r="L340" s="636"/>
    </row>
    <row r="341" spans="1:12" ht="18">
      <c r="A341" s="1170" t="s">
        <v>857</v>
      </c>
      <c r="B341" s="1171"/>
      <c r="C341" s="1171"/>
      <c r="D341" s="1171"/>
      <c r="E341" s="1171"/>
      <c r="F341" s="1171"/>
      <c r="G341" s="1171"/>
      <c r="H341" s="1171"/>
      <c r="I341" s="1171"/>
      <c r="J341" s="1171"/>
      <c r="K341" s="1172"/>
      <c r="L341" s="636"/>
    </row>
  </sheetData>
  <mergeCells count="62">
    <mergeCell ref="A330:K330"/>
    <mergeCell ref="A336:K336"/>
    <mergeCell ref="A337:K337"/>
    <mergeCell ref="A338:K340"/>
    <mergeCell ref="A341:K341"/>
    <mergeCell ref="A307:L307"/>
    <mergeCell ref="A312:L312"/>
    <mergeCell ref="A313:L313"/>
    <mergeCell ref="A314:L314"/>
    <mergeCell ref="A294:K294"/>
    <mergeCell ref="A299:K299"/>
    <mergeCell ref="A300:K300"/>
    <mergeCell ref="A301:K303"/>
    <mergeCell ref="A274:K277"/>
    <mergeCell ref="A223:K225"/>
    <mergeCell ref="A238:K238"/>
    <mergeCell ref="A239:K239"/>
    <mergeCell ref="A240:K240"/>
    <mergeCell ref="C248:D248"/>
    <mergeCell ref="A257:K257"/>
    <mergeCell ref="A258:K261"/>
    <mergeCell ref="A281:K281"/>
    <mergeCell ref="A289:K289"/>
    <mergeCell ref="A290:K290"/>
    <mergeCell ref="A79:L85"/>
    <mergeCell ref="A204:K204"/>
    <mergeCell ref="A155:L155"/>
    <mergeCell ref="A156:L156"/>
    <mergeCell ref="A170:L171"/>
    <mergeCell ref="A172:L172"/>
    <mergeCell ref="A173:L173"/>
    <mergeCell ref="A191:K191"/>
    <mergeCell ref="A192:K192"/>
    <mergeCell ref="A193:K193"/>
    <mergeCell ref="A194:K194"/>
    <mergeCell ref="A195:K195"/>
    <mergeCell ref="A196:K196"/>
    <mergeCell ref="A88:L93"/>
    <mergeCell ref="A97:L108"/>
    <mergeCell ref="A118:L121"/>
    <mergeCell ref="A68:L68"/>
    <mergeCell ref="A69:L69"/>
    <mergeCell ref="A73:L73"/>
    <mergeCell ref="A74:L74"/>
    <mergeCell ref="A75:L75"/>
    <mergeCell ref="A67:L67"/>
    <mergeCell ref="A2:L8"/>
    <mergeCell ref="A12:L23"/>
    <mergeCell ref="A45:L49"/>
    <mergeCell ref="A53:L53"/>
    <mergeCell ref="A62:L62"/>
    <mergeCell ref="A211:K211"/>
    <mergeCell ref="A212:K213"/>
    <mergeCell ref="A265:K265"/>
    <mergeCell ref="A273:K273"/>
    <mergeCell ref="A125:L135"/>
    <mergeCell ref="A139:L144"/>
    <mergeCell ref="A205:K205"/>
    <mergeCell ref="A206:K206"/>
    <mergeCell ref="A207:K207"/>
    <mergeCell ref="A148:L154"/>
    <mergeCell ref="A222:K22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436"/>
  <sheetViews>
    <sheetView topLeftCell="A427" zoomScaleNormal="100" workbookViewId="0">
      <selection activeCell="B439" sqref="B439"/>
    </sheetView>
  </sheetViews>
  <sheetFormatPr defaultRowHeight="14.25"/>
  <cols>
    <col min="1" max="1" width="36.265625" customWidth="1"/>
    <col min="2" max="2" width="14.3984375" customWidth="1"/>
    <col min="3" max="3" width="11.1328125" bestFit="1" customWidth="1"/>
    <col min="4" max="4" width="42.265625" bestFit="1" customWidth="1"/>
    <col min="7" max="7" width="21.86328125" bestFit="1" customWidth="1"/>
    <col min="9" max="9" width="21.73046875" customWidth="1"/>
    <col min="10" max="10" width="17.73046875" customWidth="1"/>
  </cols>
  <sheetData>
    <row r="1" spans="1:12" s="2" customFormat="1">
      <c r="A1" s="347">
        <v>1</v>
      </c>
    </row>
    <row r="2" spans="1:12" ht="15.75">
      <c r="A2" s="3" t="s">
        <v>444</v>
      </c>
      <c r="B2" s="3"/>
      <c r="C2" s="4"/>
      <c r="D2" s="4"/>
      <c r="E2" s="4"/>
      <c r="F2" s="9"/>
      <c r="H2" s="10"/>
      <c r="I2" s="10"/>
      <c r="J2" s="10"/>
      <c r="K2" s="10"/>
      <c r="L2" s="10"/>
    </row>
    <row r="3" spans="1:12" ht="15.75">
      <c r="A3" s="4"/>
      <c r="B3" s="4"/>
      <c r="C3" s="4"/>
      <c r="D3" s="4"/>
      <c r="E3" s="4"/>
      <c r="F3" s="4"/>
      <c r="G3" s="4"/>
      <c r="H3" s="10"/>
      <c r="I3" s="10"/>
      <c r="J3" s="10"/>
      <c r="K3" s="10"/>
      <c r="L3" s="10"/>
    </row>
    <row r="4" spans="1:12" ht="15.75">
      <c r="A4" s="4"/>
      <c r="B4" s="4"/>
      <c r="C4" s="8"/>
      <c r="D4" s="4"/>
      <c r="E4" s="4"/>
      <c r="F4" s="4"/>
      <c r="G4" s="4"/>
      <c r="H4" s="10"/>
      <c r="I4" s="10"/>
      <c r="J4" s="10"/>
      <c r="K4" s="10"/>
      <c r="L4" s="10"/>
    </row>
    <row r="5" spans="1:12" ht="15.75">
      <c r="A5" s="4"/>
      <c r="B5" s="4"/>
      <c r="C5" s="8"/>
      <c r="D5" s="4"/>
      <c r="E5" s="4"/>
      <c r="F5" s="4"/>
      <c r="G5" s="4"/>
      <c r="H5" s="10"/>
      <c r="I5" s="10"/>
      <c r="J5" s="10"/>
      <c r="K5" s="10"/>
      <c r="L5" s="10"/>
    </row>
    <row r="6" spans="1:12" ht="15.75">
      <c r="A6" s="4"/>
      <c r="B6" s="4"/>
      <c r="C6" s="8"/>
      <c r="D6" s="4"/>
      <c r="E6" s="4"/>
      <c r="F6" s="4"/>
      <c r="G6" s="4"/>
      <c r="H6" s="10"/>
      <c r="I6" s="10"/>
      <c r="J6" s="10"/>
      <c r="K6" s="10"/>
      <c r="L6" s="10"/>
    </row>
    <row r="7" spans="1:12" ht="15.75">
      <c r="A7" s="4"/>
      <c r="B7" s="4"/>
      <c r="C7" s="8"/>
      <c r="D7" s="4"/>
      <c r="E7" s="4"/>
      <c r="F7" s="4"/>
      <c r="G7" s="4"/>
      <c r="H7" s="10"/>
      <c r="I7" s="10"/>
      <c r="J7" s="10"/>
      <c r="K7" s="10"/>
      <c r="L7" s="10"/>
    </row>
    <row r="8" spans="1:12" ht="15.75">
      <c r="A8" s="4"/>
      <c r="B8" s="4"/>
      <c r="C8" s="8"/>
      <c r="D8" s="4"/>
      <c r="E8" s="4"/>
      <c r="F8" s="4"/>
      <c r="G8" s="4"/>
      <c r="H8" s="10"/>
      <c r="I8" s="10"/>
      <c r="J8" s="10"/>
      <c r="K8" s="10"/>
      <c r="L8" s="10"/>
    </row>
    <row r="9" spans="1:12" ht="15.75">
      <c r="A9" s="4"/>
      <c r="B9" s="4"/>
      <c r="C9" s="8"/>
      <c r="D9" s="4"/>
      <c r="E9" s="4"/>
      <c r="F9" s="4"/>
      <c r="G9" s="4"/>
      <c r="H9" s="10"/>
      <c r="I9" s="10"/>
      <c r="J9" s="10"/>
      <c r="K9" s="10"/>
      <c r="L9" s="10"/>
    </row>
    <row r="10" spans="1:12" ht="15.75">
      <c r="A10" s="4"/>
      <c r="B10" s="4"/>
      <c r="C10" s="8"/>
      <c r="D10" s="4"/>
      <c r="E10" s="4"/>
      <c r="F10" s="4"/>
      <c r="G10" s="4"/>
      <c r="H10" s="10"/>
      <c r="I10" s="10"/>
      <c r="J10" s="10"/>
      <c r="K10" s="10"/>
      <c r="L10" s="10"/>
    </row>
    <row r="11" spans="1:12" ht="15.75">
      <c r="A11" s="4"/>
      <c r="B11" s="4"/>
      <c r="C11" s="8"/>
      <c r="D11" s="4"/>
      <c r="E11" s="4"/>
      <c r="F11" s="4"/>
      <c r="G11" s="4"/>
      <c r="H11" s="10"/>
      <c r="I11" s="10"/>
      <c r="J11" s="10"/>
      <c r="K11" s="10"/>
      <c r="L11" s="10"/>
    </row>
    <row r="12" spans="1:12" ht="15.75">
      <c r="A12" s="4"/>
      <c r="B12" s="4"/>
      <c r="C12" s="8"/>
      <c r="D12" s="4"/>
      <c r="E12" s="4"/>
      <c r="F12" s="4"/>
      <c r="G12" s="4"/>
      <c r="H12" s="10"/>
      <c r="I12" s="10"/>
      <c r="J12" s="10"/>
      <c r="K12" s="10"/>
      <c r="L12" s="10"/>
    </row>
    <row r="13" spans="1:12" ht="15.75">
      <c r="A13" s="4"/>
      <c r="B13" s="4"/>
      <c r="C13" s="4"/>
      <c r="D13" s="4"/>
      <c r="E13" s="4"/>
      <c r="F13" s="4"/>
      <c r="G13" s="4"/>
      <c r="H13" s="10"/>
      <c r="I13" s="10"/>
      <c r="J13" s="10"/>
      <c r="K13" s="10"/>
      <c r="L13" s="10"/>
    </row>
    <row r="14" spans="1:12" ht="15.75">
      <c r="A14" s="4"/>
      <c r="B14" s="4"/>
      <c r="C14" s="4"/>
      <c r="D14" s="4"/>
      <c r="E14" s="4"/>
      <c r="F14" s="4"/>
      <c r="G14" s="4"/>
      <c r="H14" s="10"/>
      <c r="I14" s="10"/>
      <c r="J14" s="10"/>
      <c r="K14" s="10"/>
      <c r="L14" s="10"/>
    </row>
    <row r="15" spans="1:12" ht="15.75">
      <c r="A15" s="4"/>
      <c r="B15" s="4"/>
      <c r="C15" s="4"/>
      <c r="D15" s="4"/>
      <c r="E15" s="4"/>
      <c r="F15" s="4"/>
      <c r="G15" s="4"/>
      <c r="H15" s="10"/>
      <c r="I15" s="10"/>
      <c r="J15" s="10"/>
      <c r="K15" s="10"/>
      <c r="L15" s="10"/>
    </row>
    <row r="16" spans="1:12" ht="15.75">
      <c r="A16" s="4"/>
      <c r="B16" s="4"/>
      <c r="C16" s="4"/>
      <c r="D16" s="4"/>
      <c r="E16" s="4"/>
      <c r="F16" s="4"/>
      <c r="G16" s="4"/>
      <c r="H16" s="10"/>
      <c r="I16" s="10"/>
      <c r="J16" s="10"/>
      <c r="K16" s="10"/>
      <c r="L16" s="10"/>
    </row>
    <row r="17" spans="1:12" ht="15.75">
      <c r="A17" s="4"/>
      <c r="B17" s="4"/>
      <c r="C17" s="4"/>
      <c r="D17" s="4"/>
      <c r="E17" s="4"/>
      <c r="F17" s="4"/>
      <c r="G17" s="4"/>
      <c r="H17" s="10"/>
      <c r="I17" s="10"/>
      <c r="J17" s="10"/>
      <c r="K17" s="10"/>
      <c r="L17" s="10"/>
    </row>
    <row r="18" spans="1:12" ht="15.75">
      <c r="A18" s="4"/>
      <c r="B18" s="4"/>
      <c r="C18" s="4"/>
      <c r="D18" s="4"/>
      <c r="E18" s="4"/>
      <c r="F18" s="4"/>
      <c r="G18" s="4"/>
      <c r="H18" s="10"/>
      <c r="I18" s="10"/>
      <c r="J18" s="10"/>
      <c r="K18" s="10"/>
      <c r="L18" s="10"/>
    </row>
    <row r="19" spans="1:12" ht="15.75">
      <c r="A19" s="4"/>
      <c r="B19" s="4"/>
      <c r="C19" s="4"/>
      <c r="D19" s="4"/>
      <c r="E19" s="4"/>
      <c r="F19" s="4"/>
      <c r="G19" s="4"/>
      <c r="H19" s="10"/>
      <c r="I19" s="10"/>
      <c r="J19" s="10"/>
      <c r="K19" s="10"/>
      <c r="L19" s="10"/>
    </row>
    <row r="20" spans="1:12" ht="15.75">
      <c r="A20" s="4"/>
      <c r="B20" s="4"/>
      <c r="C20" s="4"/>
      <c r="D20" s="4"/>
      <c r="E20" s="4"/>
      <c r="F20" s="4"/>
      <c r="G20" s="4"/>
      <c r="H20" s="10"/>
      <c r="I20" s="10"/>
      <c r="J20" s="10"/>
      <c r="K20" s="10"/>
      <c r="L20" s="10"/>
    </row>
    <row r="21" spans="1:12" ht="15.75">
      <c r="A21" s="4"/>
      <c r="B21" s="4"/>
      <c r="C21" s="4"/>
      <c r="D21" s="4"/>
      <c r="E21" s="4"/>
      <c r="F21" s="4"/>
      <c r="G21" s="4"/>
      <c r="H21" s="10"/>
      <c r="I21" s="10"/>
      <c r="J21" s="10"/>
      <c r="K21" s="10"/>
      <c r="L21" s="10"/>
    </row>
    <row r="22" spans="1:12" ht="15.75">
      <c r="A22" s="4"/>
      <c r="B22" s="4"/>
      <c r="C22" s="4"/>
      <c r="D22" s="4"/>
      <c r="E22" s="4"/>
      <c r="F22" s="9"/>
      <c r="H22" s="10"/>
      <c r="I22" s="10"/>
      <c r="J22" s="10"/>
      <c r="K22" s="10"/>
      <c r="L22" s="10"/>
    </row>
    <row r="23" spans="1:12" ht="15.75">
      <c r="A23" s="4"/>
      <c r="B23" s="4"/>
      <c r="C23" s="4"/>
      <c r="D23" s="4"/>
      <c r="E23" s="4"/>
      <c r="F23" s="9"/>
      <c r="H23" s="10"/>
      <c r="I23" s="10"/>
      <c r="J23" s="10"/>
      <c r="K23" s="10"/>
      <c r="L23" s="10"/>
    </row>
    <row r="24" spans="1:12" ht="15.75">
      <c r="A24" s="4"/>
      <c r="B24" s="4"/>
      <c r="C24" s="4"/>
      <c r="D24" s="4"/>
      <c r="E24" s="4"/>
      <c r="F24" s="9"/>
      <c r="H24" s="10"/>
      <c r="I24" s="10"/>
      <c r="J24" s="10"/>
      <c r="K24" s="10"/>
      <c r="L24" s="10"/>
    </row>
    <row r="25" spans="1:12" ht="15.75">
      <c r="A25" s="4"/>
      <c r="B25" s="4"/>
      <c r="C25" s="4"/>
      <c r="D25" s="4"/>
      <c r="E25" s="4"/>
      <c r="F25" s="9"/>
      <c r="H25" s="10"/>
      <c r="I25" s="10"/>
      <c r="J25" s="10"/>
      <c r="K25" s="10"/>
      <c r="L25" s="10"/>
    </row>
    <row r="26" spans="1:12" ht="15.75">
      <c r="A26" s="4"/>
      <c r="B26" s="4"/>
      <c r="C26" s="4"/>
      <c r="D26" s="4"/>
      <c r="E26" s="4"/>
      <c r="F26" s="9"/>
      <c r="H26" s="10"/>
      <c r="I26" s="10"/>
      <c r="J26" s="10"/>
      <c r="K26" s="10"/>
      <c r="L26" s="10"/>
    </row>
    <row r="27" spans="1:12" ht="15.75">
      <c r="A27" s="4"/>
      <c r="B27" s="4"/>
      <c r="C27" s="4"/>
      <c r="D27" s="4"/>
      <c r="E27" s="4"/>
      <c r="F27" s="9"/>
      <c r="H27" s="10"/>
      <c r="I27" s="10"/>
      <c r="J27" s="10"/>
      <c r="K27" s="10"/>
      <c r="L27" s="10"/>
    </row>
    <row r="28" spans="1:12" ht="15.75">
      <c r="A28" s="4"/>
      <c r="B28" s="4"/>
      <c r="C28" s="4"/>
      <c r="D28" s="4"/>
      <c r="E28" s="4"/>
      <c r="F28" s="9"/>
      <c r="H28" s="10"/>
      <c r="I28" s="10"/>
      <c r="J28" s="10"/>
      <c r="K28" s="10"/>
      <c r="L28" s="10"/>
    </row>
    <row r="29" spans="1:12" ht="15.75">
      <c r="A29" s="4"/>
      <c r="B29" s="4"/>
      <c r="C29" s="4"/>
      <c r="D29" s="4"/>
      <c r="E29" s="4"/>
      <c r="F29" s="9"/>
      <c r="H29" s="10"/>
      <c r="I29" s="10"/>
      <c r="J29" s="10"/>
      <c r="K29" s="10"/>
      <c r="L29" s="10"/>
    </row>
    <row r="30" spans="1:12" ht="15.75">
      <c r="A30" s="4"/>
      <c r="B30" s="4"/>
      <c r="C30" s="4"/>
      <c r="D30" s="4"/>
      <c r="E30" s="4"/>
      <c r="F30" s="9"/>
      <c r="H30" s="10"/>
      <c r="I30" s="10"/>
      <c r="J30" s="10"/>
      <c r="K30" s="10"/>
      <c r="L30" s="10"/>
    </row>
    <row r="31" spans="1:12" ht="15.75">
      <c r="A31" s="4"/>
      <c r="B31" s="4"/>
      <c r="C31" s="4"/>
      <c r="D31" s="4"/>
      <c r="E31" s="4"/>
      <c r="F31" s="9"/>
      <c r="H31" s="10"/>
      <c r="I31" s="10"/>
      <c r="J31" s="10"/>
      <c r="K31" s="10"/>
      <c r="L31" s="10"/>
    </row>
    <row r="32" spans="1:12" ht="15.75">
      <c r="A32" s="4"/>
      <c r="B32" s="4"/>
      <c r="C32" s="4"/>
      <c r="D32" s="4"/>
      <c r="E32" s="4"/>
      <c r="F32" s="9"/>
      <c r="H32" s="10"/>
      <c r="I32" s="10"/>
      <c r="J32" s="10"/>
      <c r="K32" s="10"/>
      <c r="L32" s="10"/>
    </row>
    <row r="33" spans="1:12" ht="15.75">
      <c r="A33" s="4"/>
      <c r="B33" s="4"/>
      <c r="C33" s="4"/>
      <c r="D33" s="4"/>
      <c r="E33" s="4"/>
      <c r="F33" s="9"/>
      <c r="H33" s="10"/>
      <c r="I33" s="10"/>
      <c r="J33" s="10"/>
      <c r="K33" s="10"/>
      <c r="L33" s="10"/>
    </row>
    <row r="34" spans="1:12" ht="15.75">
      <c r="A34" s="4"/>
      <c r="B34" s="4"/>
      <c r="C34" s="4"/>
      <c r="D34" s="4"/>
      <c r="E34" s="4"/>
      <c r="F34" s="9"/>
      <c r="H34" s="10"/>
      <c r="I34" s="10"/>
      <c r="J34" s="10"/>
      <c r="K34" s="10"/>
      <c r="L34" s="10"/>
    </row>
    <row r="35" spans="1:12" ht="15.75">
      <c r="A35" s="4"/>
      <c r="B35" s="4"/>
      <c r="C35" s="4"/>
      <c r="D35" s="4"/>
      <c r="E35" s="4"/>
      <c r="F35" s="9"/>
      <c r="H35" s="10"/>
      <c r="I35" s="10"/>
      <c r="J35" s="10"/>
      <c r="K35" s="10"/>
      <c r="L35" s="10"/>
    </row>
    <row r="36" spans="1:12" ht="15.75">
      <c r="A36" s="4"/>
      <c r="B36" s="4"/>
      <c r="C36" s="4"/>
      <c r="D36" s="4"/>
      <c r="E36" s="4"/>
      <c r="F36" s="9"/>
      <c r="H36" s="10"/>
      <c r="I36" s="10"/>
      <c r="J36" s="10"/>
      <c r="K36" s="10"/>
      <c r="L36" s="10"/>
    </row>
    <row r="37" spans="1:12" ht="15.75">
      <c r="A37" s="4"/>
      <c r="B37" s="4"/>
      <c r="C37" s="4"/>
      <c r="D37" s="4"/>
      <c r="E37" s="4"/>
      <c r="F37" s="9"/>
      <c r="H37" s="10"/>
      <c r="I37" s="10"/>
      <c r="J37" s="10"/>
      <c r="K37" s="10"/>
      <c r="L37" s="10"/>
    </row>
    <row r="38" spans="1:12">
      <c r="A38" s="10"/>
      <c r="B38" s="10"/>
      <c r="C38" s="10"/>
      <c r="D38" s="10"/>
      <c r="E38" s="10"/>
      <c r="F38" s="10"/>
      <c r="G38" s="10"/>
      <c r="H38" s="10"/>
      <c r="I38" s="10"/>
      <c r="J38" s="10"/>
      <c r="K38" s="10"/>
      <c r="L38" s="10"/>
    </row>
    <row r="39" spans="1:12">
      <c r="A39" s="10"/>
      <c r="B39" s="10"/>
      <c r="C39" s="10"/>
      <c r="D39" s="10"/>
      <c r="E39" s="10"/>
      <c r="F39" s="10"/>
      <c r="G39" s="10"/>
      <c r="H39" s="10"/>
      <c r="I39" s="10"/>
      <c r="J39" s="10"/>
      <c r="K39" s="10"/>
      <c r="L39" s="10"/>
    </row>
    <row r="40" spans="1:12">
      <c r="A40" s="10"/>
      <c r="B40" s="10"/>
      <c r="C40" s="10"/>
      <c r="D40" s="10"/>
      <c r="E40" s="10"/>
      <c r="F40" s="10"/>
      <c r="G40" s="10"/>
      <c r="H40" s="10"/>
      <c r="I40" s="10"/>
      <c r="J40" s="10"/>
      <c r="K40" s="10"/>
      <c r="L40" s="10"/>
    </row>
    <row r="41" spans="1:12">
      <c r="A41" s="10"/>
      <c r="B41" s="10"/>
      <c r="C41" s="10"/>
      <c r="D41" s="10"/>
      <c r="E41" s="10"/>
      <c r="F41" s="10"/>
      <c r="G41" s="10"/>
      <c r="H41" s="10"/>
      <c r="I41" s="10"/>
      <c r="J41" s="10"/>
      <c r="K41" s="10"/>
      <c r="L41" s="10"/>
    </row>
    <row r="42" spans="1:12">
      <c r="A42" s="10"/>
      <c r="B42" s="10"/>
      <c r="C42" s="10"/>
      <c r="D42" s="10"/>
      <c r="E42" s="10"/>
      <c r="F42" s="10"/>
      <c r="G42" s="10"/>
      <c r="H42" s="10"/>
      <c r="I42" s="10"/>
      <c r="J42" s="10"/>
      <c r="K42" s="10"/>
      <c r="L42" s="10"/>
    </row>
    <row r="43" spans="1:12" ht="15.75">
      <c r="A43" s="1222" t="s">
        <v>445</v>
      </c>
      <c r="B43" s="1222"/>
      <c r="C43" s="1222"/>
      <c r="D43" s="1222"/>
      <c r="E43" s="1222"/>
      <c r="F43" s="1222"/>
      <c r="G43" s="1222"/>
      <c r="H43" s="1222"/>
      <c r="I43" s="1222"/>
      <c r="J43" s="1222"/>
      <c r="K43" s="1222"/>
      <c r="L43" s="1222"/>
    </row>
    <row r="44" spans="1:12">
      <c r="A44" s="10"/>
      <c r="B44" s="10"/>
      <c r="C44" s="10"/>
      <c r="D44" s="10"/>
      <c r="E44" s="10"/>
      <c r="F44" s="10"/>
      <c r="G44" s="10"/>
      <c r="H44" s="10"/>
      <c r="I44" s="10"/>
      <c r="J44" s="10"/>
      <c r="K44" s="10"/>
      <c r="L44" s="10"/>
    </row>
    <row r="45" spans="1:12" ht="14.65" customHeight="1">
      <c r="A45" s="1223" t="s">
        <v>446</v>
      </c>
      <c r="B45" s="1224"/>
      <c r="C45" s="1224"/>
      <c r="D45" s="1224"/>
      <c r="E45" s="1224"/>
      <c r="F45" s="1224"/>
      <c r="G45" s="1224"/>
      <c r="H45" s="1224"/>
      <c r="I45" s="1224"/>
      <c r="J45" s="1224"/>
      <c r="K45" s="1224"/>
      <c r="L45" s="1225"/>
    </row>
    <row r="46" spans="1:12">
      <c r="A46" s="1226"/>
      <c r="B46" s="1227"/>
      <c r="C46" s="1227"/>
      <c r="D46" s="1227"/>
      <c r="E46" s="1227"/>
      <c r="F46" s="1227"/>
      <c r="G46" s="1227"/>
      <c r="H46" s="1227"/>
      <c r="I46" s="1227"/>
      <c r="J46" s="1227"/>
      <c r="K46" s="1227"/>
      <c r="L46" s="1228"/>
    </row>
    <row r="47" spans="1:12">
      <c r="A47" s="1226"/>
      <c r="B47" s="1227"/>
      <c r="C47" s="1227"/>
      <c r="D47" s="1227"/>
      <c r="E47" s="1227"/>
      <c r="F47" s="1227"/>
      <c r="G47" s="1227"/>
      <c r="H47" s="1227"/>
      <c r="I47" s="1227"/>
      <c r="J47" s="1227"/>
      <c r="K47" s="1227"/>
      <c r="L47" s="1228"/>
    </row>
    <row r="48" spans="1:12" ht="122.25" customHeight="1">
      <c r="A48" s="1229"/>
      <c r="B48" s="1230"/>
      <c r="C48" s="1230"/>
      <c r="D48" s="1230"/>
      <c r="E48" s="1230"/>
      <c r="F48" s="1230"/>
      <c r="G48" s="1230"/>
      <c r="H48" s="1230"/>
      <c r="I48" s="1230"/>
      <c r="J48" s="1230"/>
      <c r="K48" s="1230"/>
      <c r="L48" s="1231"/>
    </row>
    <row r="50" spans="1:12" s="2" customFormat="1">
      <c r="A50" s="347">
        <v>2</v>
      </c>
    </row>
    <row r="52" spans="1:12">
      <c r="A52" s="1232" t="s">
        <v>524</v>
      </c>
      <c r="B52" s="1080"/>
      <c r="C52" s="1080"/>
      <c r="D52" s="1080"/>
      <c r="E52" s="1080"/>
      <c r="F52" s="1080"/>
      <c r="G52" s="1080"/>
      <c r="H52" s="1080"/>
      <c r="I52" s="1080"/>
      <c r="J52" s="1080"/>
      <c r="K52" s="1080"/>
      <c r="L52" s="1081"/>
    </row>
    <row r="53" spans="1:12">
      <c r="A53" s="1082"/>
      <c r="B53" s="1083"/>
      <c r="C53" s="1083"/>
      <c r="D53" s="1083"/>
      <c r="E53" s="1083"/>
      <c r="F53" s="1083"/>
      <c r="G53" s="1083"/>
      <c r="H53" s="1083"/>
      <c r="I53" s="1083"/>
      <c r="J53" s="1083"/>
      <c r="K53" s="1083"/>
      <c r="L53" s="1084"/>
    </row>
    <row r="54" spans="1:12">
      <c r="A54" s="1082"/>
      <c r="B54" s="1083"/>
      <c r="C54" s="1083"/>
      <c r="D54" s="1083"/>
      <c r="E54" s="1083"/>
      <c r="F54" s="1083"/>
      <c r="G54" s="1083"/>
      <c r="H54" s="1083"/>
      <c r="I54" s="1083"/>
      <c r="J54" s="1083"/>
      <c r="K54" s="1083"/>
      <c r="L54" s="1084"/>
    </row>
    <row r="55" spans="1:12">
      <c r="A55" s="1082"/>
      <c r="B55" s="1083"/>
      <c r="C55" s="1083"/>
      <c r="D55" s="1083"/>
      <c r="E55" s="1083"/>
      <c r="F55" s="1083"/>
      <c r="G55" s="1083"/>
      <c r="H55" s="1083"/>
      <c r="I55" s="1083"/>
      <c r="J55" s="1083"/>
      <c r="K55" s="1083"/>
      <c r="L55" s="1084"/>
    </row>
    <row r="56" spans="1:12">
      <c r="A56" s="1082"/>
      <c r="B56" s="1083"/>
      <c r="C56" s="1083"/>
      <c r="D56" s="1083"/>
      <c r="E56" s="1083"/>
      <c r="F56" s="1083"/>
      <c r="G56" s="1083"/>
      <c r="H56" s="1083"/>
      <c r="I56" s="1083"/>
      <c r="J56" s="1083"/>
      <c r="K56" s="1083"/>
      <c r="L56" s="1084"/>
    </row>
    <row r="57" spans="1:12">
      <c r="A57" s="1082"/>
      <c r="B57" s="1083"/>
      <c r="C57" s="1083"/>
      <c r="D57" s="1083"/>
      <c r="E57" s="1083"/>
      <c r="F57" s="1083"/>
      <c r="G57" s="1083"/>
      <c r="H57" s="1083"/>
      <c r="I57" s="1083"/>
      <c r="J57" s="1083"/>
      <c r="K57" s="1083"/>
      <c r="L57" s="1084"/>
    </row>
    <row r="58" spans="1:12">
      <c r="A58" s="1082"/>
      <c r="B58" s="1083"/>
      <c r="C58" s="1083"/>
      <c r="D58" s="1083"/>
      <c r="E58" s="1083"/>
      <c r="F58" s="1083"/>
      <c r="G58" s="1083"/>
      <c r="H58" s="1083"/>
      <c r="I58" s="1083"/>
      <c r="J58" s="1083"/>
      <c r="K58" s="1083"/>
      <c r="L58" s="1084"/>
    </row>
    <row r="59" spans="1:12">
      <c r="A59" s="1082"/>
      <c r="B59" s="1083"/>
      <c r="C59" s="1083"/>
      <c r="D59" s="1083"/>
      <c r="E59" s="1083"/>
      <c r="F59" s="1083"/>
      <c r="G59" s="1083"/>
      <c r="H59" s="1083"/>
      <c r="I59" s="1083"/>
      <c r="J59" s="1083"/>
      <c r="K59" s="1083"/>
      <c r="L59" s="1084"/>
    </row>
    <row r="60" spans="1:12" ht="72" customHeight="1">
      <c r="A60" s="1085"/>
      <c r="B60" s="1086"/>
      <c r="C60" s="1086"/>
      <c r="D60" s="1086"/>
      <c r="E60" s="1086"/>
      <c r="F60" s="1086"/>
      <c r="G60" s="1086"/>
      <c r="H60" s="1086"/>
      <c r="I60" s="1086"/>
      <c r="J60" s="1086"/>
      <c r="K60" s="1086"/>
      <c r="L60" s="1087"/>
    </row>
    <row r="62" spans="1:12" s="2" customFormat="1">
      <c r="A62" s="347">
        <v>3</v>
      </c>
    </row>
    <row r="64" spans="1:12" ht="15.75">
      <c r="A64" s="379" t="s">
        <v>447</v>
      </c>
      <c r="B64" s="379"/>
      <c r="C64" s="379"/>
      <c r="D64" s="379"/>
      <c r="E64" s="379"/>
      <c r="F64" s="212"/>
      <c r="G64" s="379" t="s">
        <v>448</v>
      </c>
      <c r="H64" s="212"/>
      <c r="I64" s="10"/>
      <c r="J64" s="10"/>
      <c r="K64" s="10"/>
      <c r="L64" s="10"/>
    </row>
    <row r="65" spans="1:12" ht="15.75">
      <c r="A65" s="212"/>
      <c r="B65" s="212"/>
      <c r="C65" s="212"/>
      <c r="D65" s="212"/>
      <c r="E65" s="212"/>
      <c r="F65" s="212"/>
      <c r="G65" s="212"/>
      <c r="H65" s="212"/>
      <c r="I65" s="380"/>
      <c r="J65" s="10"/>
      <c r="K65" s="10"/>
      <c r="L65" s="10"/>
    </row>
    <row r="66" spans="1:12" ht="18">
      <c r="A66" s="5"/>
      <c r="B66" s="1233" t="s">
        <v>449</v>
      </c>
      <c r="C66" s="1234"/>
      <c r="D66" s="1234"/>
      <c r="E66" s="1235"/>
      <c r="F66" s="212"/>
      <c r="G66" s="381" t="s">
        <v>450</v>
      </c>
      <c r="H66" s="212"/>
      <c r="I66" s="10"/>
      <c r="J66" s="10"/>
      <c r="K66" s="10"/>
      <c r="L66" s="10"/>
    </row>
    <row r="67" spans="1:12" ht="18">
      <c r="A67" s="5"/>
      <c r="B67" s="382">
        <v>0</v>
      </c>
      <c r="C67" s="382">
        <v>1</v>
      </c>
      <c r="D67" s="382">
        <v>2</v>
      </c>
      <c r="E67" s="382">
        <v>3</v>
      </c>
      <c r="F67" s="212"/>
      <c r="G67" s="383">
        <v>0.1</v>
      </c>
      <c r="H67" s="212"/>
      <c r="I67" s="10"/>
      <c r="J67" s="10"/>
      <c r="K67" s="10"/>
      <c r="L67" s="10"/>
    </row>
    <row r="68" spans="1:12" ht="18">
      <c r="A68" s="384" t="s">
        <v>451</v>
      </c>
      <c r="B68" s="385">
        <v>-2000</v>
      </c>
      <c r="C68" s="385">
        <v>300</v>
      </c>
      <c r="D68" s="385">
        <v>200</v>
      </c>
      <c r="E68" s="385">
        <v>2000</v>
      </c>
      <c r="F68" s="212"/>
      <c r="G68" s="383">
        <v>8.7499999999999994E-2</v>
      </c>
      <c r="H68" s="212"/>
      <c r="I68" s="10"/>
      <c r="J68" s="10"/>
      <c r="K68" s="10"/>
      <c r="L68" s="10"/>
    </row>
    <row r="69" spans="1:12" ht="15.75">
      <c r="A69" s="10"/>
      <c r="B69" s="10"/>
      <c r="C69" s="10"/>
      <c r="D69" s="10"/>
      <c r="E69" s="10"/>
      <c r="F69" s="212"/>
      <c r="G69" s="383">
        <v>0.06</v>
      </c>
      <c r="H69" s="212"/>
      <c r="I69" s="386"/>
      <c r="J69" s="386"/>
      <c r="K69" s="386"/>
      <c r="L69" s="386"/>
    </row>
    <row r="70" spans="1:12" ht="15.75">
      <c r="A70" s="10"/>
      <c r="B70" s="10"/>
      <c r="C70" s="10"/>
      <c r="D70" s="10"/>
      <c r="E70" s="10"/>
      <c r="F70" s="212"/>
      <c r="G70" s="383">
        <v>0.02</v>
      </c>
      <c r="H70" s="212"/>
      <c r="I70" s="10"/>
      <c r="J70" s="10"/>
      <c r="K70" s="10"/>
      <c r="L70" s="10"/>
    </row>
    <row r="71" spans="1:12" ht="15.75">
      <c r="A71" s="10"/>
      <c r="B71" s="10"/>
      <c r="C71" s="10"/>
      <c r="D71" s="10"/>
      <c r="E71" s="10"/>
      <c r="F71" s="212"/>
      <c r="G71" s="383">
        <v>1.4999999999999999E-2</v>
      </c>
      <c r="H71" s="212"/>
      <c r="I71" s="10"/>
      <c r="J71" s="10"/>
      <c r="K71" s="10"/>
      <c r="L71" s="10"/>
    </row>
    <row r="72" spans="1:12">
      <c r="A72" s="10"/>
      <c r="B72" s="10"/>
      <c r="C72" s="10"/>
      <c r="D72" s="10"/>
      <c r="E72" s="10"/>
      <c r="F72" s="10"/>
      <c r="G72" s="10"/>
      <c r="H72" s="10"/>
      <c r="I72" s="10"/>
      <c r="J72" s="10"/>
      <c r="K72" s="10"/>
      <c r="L72" s="10"/>
    </row>
    <row r="73" spans="1:12">
      <c r="A73" s="10"/>
      <c r="B73" s="10"/>
      <c r="C73" s="10"/>
      <c r="D73" s="10"/>
      <c r="E73" s="10"/>
      <c r="F73" s="10"/>
      <c r="G73" s="10"/>
      <c r="H73" s="10"/>
      <c r="I73" s="10"/>
      <c r="J73" s="10"/>
      <c r="K73" s="10"/>
      <c r="L73" s="10"/>
    </row>
    <row r="74" spans="1:12">
      <c r="A74" s="987" t="s">
        <v>452</v>
      </c>
      <c r="B74" s="988"/>
      <c r="C74" s="988"/>
      <c r="D74" s="988"/>
      <c r="E74" s="988"/>
      <c r="F74" s="988"/>
      <c r="G74" s="988"/>
      <c r="H74" s="988"/>
      <c r="I74" s="988"/>
      <c r="J74" s="988"/>
      <c r="K74" s="988"/>
      <c r="L74" s="989"/>
    </row>
    <row r="75" spans="1:12">
      <c r="A75" s="990"/>
      <c r="B75" s="981"/>
      <c r="C75" s="981"/>
      <c r="D75" s="981"/>
      <c r="E75" s="981"/>
      <c r="F75" s="981"/>
      <c r="G75" s="981"/>
      <c r="H75" s="981"/>
      <c r="I75" s="981"/>
      <c r="J75" s="981"/>
      <c r="K75" s="981"/>
      <c r="L75" s="991"/>
    </row>
    <row r="76" spans="1:12">
      <c r="A76" s="990"/>
      <c r="B76" s="981"/>
      <c r="C76" s="981"/>
      <c r="D76" s="981"/>
      <c r="E76" s="981"/>
      <c r="F76" s="981"/>
      <c r="G76" s="981"/>
      <c r="H76" s="981"/>
      <c r="I76" s="981"/>
      <c r="J76" s="981"/>
      <c r="K76" s="981"/>
      <c r="L76" s="991"/>
    </row>
    <row r="77" spans="1:12">
      <c r="A77" s="990"/>
      <c r="B77" s="981"/>
      <c r="C77" s="981"/>
      <c r="D77" s="981"/>
      <c r="E77" s="981"/>
      <c r="F77" s="981"/>
      <c r="G77" s="981"/>
      <c r="H77" s="981"/>
      <c r="I77" s="981"/>
      <c r="J77" s="981"/>
      <c r="K77" s="981"/>
      <c r="L77" s="991"/>
    </row>
    <row r="79" spans="1:12" s="2" customFormat="1">
      <c r="A79" s="347">
        <v>4</v>
      </c>
    </row>
    <row r="81" spans="1:12" ht="21">
      <c r="A81" s="340" t="s">
        <v>453</v>
      </c>
      <c r="B81" s="387" t="s">
        <v>130</v>
      </c>
      <c r="C81" s="387" t="s">
        <v>131</v>
      </c>
      <c r="D81" s="387" t="s">
        <v>132</v>
      </c>
      <c r="E81" s="10"/>
      <c r="F81" s="10"/>
      <c r="G81" s="10"/>
      <c r="H81" s="10"/>
      <c r="I81" s="10"/>
      <c r="J81" s="10"/>
      <c r="K81" s="10"/>
      <c r="L81" s="10"/>
    </row>
    <row r="82" spans="1:12" ht="21">
      <c r="A82" s="341" t="s">
        <v>383</v>
      </c>
      <c r="B82" s="342">
        <v>245000</v>
      </c>
      <c r="C82" s="342">
        <v>330000</v>
      </c>
      <c r="D82" s="342">
        <v>210000</v>
      </c>
      <c r="E82" s="10"/>
      <c r="F82" s="10"/>
      <c r="G82" s="10"/>
      <c r="H82" s="10"/>
      <c r="I82" s="10"/>
      <c r="J82" s="10"/>
      <c r="K82" s="10"/>
      <c r="L82" s="10"/>
    </row>
    <row r="83" spans="1:12" ht="21">
      <c r="A83" s="341" t="s">
        <v>384</v>
      </c>
      <c r="B83" s="341">
        <v>2</v>
      </c>
      <c r="C83" s="341">
        <v>1.5</v>
      </c>
      <c r="D83" s="341">
        <v>1.9</v>
      </c>
      <c r="E83" s="10"/>
      <c r="F83" s="10"/>
      <c r="G83" s="10"/>
      <c r="H83" s="10"/>
      <c r="I83" s="10"/>
      <c r="J83" s="10"/>
      <c r="K83" s="10"/>
      <c r="L83" s="10"/>
    </row>
    <row r="84" spans="1:12" ht="21">
      <c r="A84" s="341" t="s">
        <v>454</v>
      </c>
      <c r="B84" s="341">
        <v>3</v>
      </c>
      <c r="C84" s="341">
        <v>4</v>
      </c>
      <c r="D84" s="341">
        <v>3.5</v>
      </c>
      <c r="E84" s="10"/>
      <c r="F84" s="10"/>
      <c r="G84" s="10"/>
      <c r="H84" s="10"/>
      <c r="I84" s="10"/>
      <c r="J84" s="10"/>
      <c r="K84" s="10"/>
      <c r="L84" s="10"/>
    </row>
    <row r="85" spans="1:12" ht="21">
      <c r="A85" s="341" t="s">
        <v>455</v>
      </c>
      <c r="B85" s="388">
        <v>0.19</v>
      </c>
      <c r="C85" s="388">
        <v>0.15</v>
      </c>
      <c r="D85" s="388">
        <v>0.17</v>
      </c>
      <c r="E85" s="10"/>
      <c r="F85" s="10"/>
      <c r="G85" s="10"/>
      <c r="H85" s="10"/>
      <c r="I85" s="10"/>
      <c r="J85" s="10"/>
      <c r="K85" s="10"/>
      <c r="L85" s="10"/>
    </row>
    <row r="86" spans="1:12" ht="21">
      <c r="A86" s="389"/>
      <c r="B86" s="390"/>
      <c r="C86" s="390"/>
      <c r="D86" s="390"/>
      <c r="E86" s="10"/>
      <c r="F86" s="10"/>
      <c r="G86" s="10"/>
      <c r="H86" s="10"/>
      <c r="I86" s="10"/>
      <c r="J86" s="10"/>
      <c r="K86" s="10"/>
      <c r="L86" s="10"/>
    </row>
    <row r="87" spans="1:12">
      <c r="A87" s="1156" t="s">
        <v>456</v>
      </c>
      <c r="B87" s="1157"/>
      <c r="C87" s="1157"/>
      <c r="D87" s="1157"/>
      <c r="E87" s="1157"/>
      <c r="F87" s="1157"/>
      <c r="G87" s="1157"/>
      <c r="H87" s="1157"/>
      <c r="I87" s="1157"/>
      <c r="J87" s="1157"/>
      <c r="K87" s="1157"/>
      <c r="L87" s="1158"/>
    </row>
    <row r="88" spans="1:12">
      <c r="A88" s="983" t="s">
        <v>457</v>
      </c>
      <c r="B88" s="984"/>
      <c r="C88" s="984"/>
      <c r="D88" s="984"/>
      <c r="E88" s="984"/>
      <c r="F88" s="984"/>
      <c r="G88" s="984"/>
      <c r="H88" s="984"/>
      <c r="I88" s="984"/>
      <c r="J88" s="984"/>
      <c r="K88" s="984"/>
      <c r="L88" s="985"/>
    </row>
    <row r="90" spans="1:12" s="2" customFormat="1">
      <c r="A90" s="347">
        <v>5</v>
      </c>
    </row>
    <row r="92" spans="1:12" ht="15.75">
      <c r="A92" s="391"/>
      <c r="B92" s="191"/>
      <c r="C92" s="191"/>
      <c r="D92" s="191"/>
      <c r="E92" s="191"/>
      <c r="F92" s="191"/>
      <c r="G92" s="191"/>
      <c r="H92" s="191"/>
      <c r="I92" s="191"/>
      <c r="J92" s="191"/>
      <c r="K92" s="191"/>
      <c r="L92" s="191"/>
    </row>
    <row r="93" spans="1:12" ht="23.25">
      <c r="A93" s="392" t="s">
        <v>458</v>
      </c>
      <c r="B93" s="393"/>
      <c r="C93" s="393"/>
      <c r="D93" s="393"/>
      <c r="E93" s="191"/>
      <c r="F93" s="191"/>
      <c r="G93" s="191"/>
      <c r="H93" s="191"/>
      <c r="I93" s="191"/>
      <c r="J93" s="191"/>
      <c r="K93" s="191"/>
      <c r="L93" s="191"/>
    </row>
    <row r="94" spans="1:12" ht="23.65" thickBot="1">
      <c r="A94" s="392" t="s">
        <v>459</v>
      </c>
      <c r="B94" s="393"/>
      <c r="C94" s="393"/>
      <c r="D94" s="393"/>
      <c r="E94" s="191"/>
      <c r="F94" s="191"/>
      <c r="G94" s="191"/>
      <c r="H94" s="191"/>
      <c r="I94" s="191"/>
      <c r="J94" s="191"/>
      <c r="K94" s="191"/>
      <c r="L94" s="191"/>
    </row>
    <row r="95" spans="1:12" ht="18">
      <c r="A95" s="394" t="s">
        <v>460</v>
      </c>
      <c r="B95" s="395"/>
      <c r="C95" s="395"/>
      <c r="D95" s="396"/>
      <c r="E95" s="396"/>
      <c r="F95" s="396"/>
      <c r="G95" s="396"/>
      <c r="H95" s="397"/>
      <c r="I95" s="191"/>
      <c r="J95" s="191"/>
      <c r="K95" s="191"/>
      <c r="L95" s="191"/>
    </row>
    <row r="96" spans="1:12" ht="18">
      <c r="A96" s="398" t="s">
        <v>461</v>
      </c>
      <c r="B96" s="399"/>
      <c r="C96" s="399"/>
      <c r="D96" s="191"/>
      <c r="E96" s="191"/>
      <c r="F96" s="191"/>
      <c r="G96" s="191"/>
      <c r="H96" s="400"/>
      <c r="I96" s="191"/>
      <c r="J96" s="191"/>
      <c r="K96" s="191"/>
      <c r="L96" s="191"/>
    </row>
    <row r="97" spans="1:12" ht="18">
      <c r="A97" s="398" t="s">
        <v>462</v>
      </c>
      <c r="B97" s="399"/>
      <c r="C97" s="399"/>
      <c r="D97" s="191"/>
      <c r="E97" s="191"/>
      <c r="F97" s="191"/>
      <c r="G97" s="191"/>
      <c r="H97" s="400"/>
      <c r="I97" s="191"/>
      <c r="J97" s="191"/>
      <c r="K97" s="191"/>
      <c r="L97" s="191"/>
    </row>
    <row r="98" spans="1:12" ht="18">
      <c r="A98" s="398" t="s">
        <v>463</v>
      </c>
      <c r="B98" s="399"/>
      <c r="C98" s="399"/>
      <c r="D98" s="191"/>
      <c r="E98" s="191"/>
      <c r="F98" s="191"/>
      <c r="G98" s="191"/>
      <c r="H98" s="400"/>
      <c r="I98" s="191"/>
      <c r="J98" s="191"/>
      <c r="K98" s="191"/>
      <c r="L98" s="191"/>
    </row>
    <row r="99" spans="1:12" ht="18">
      <c r="A99" s="398" t="s">
        <v>464</v>
      </c>
      <c r="B99" s="399"/>
      <c r="C99" s="399"/>
      <c r="D99" s="191"/>
      <c r="E99" s="191"/>
      <c r="F99" s="191"/>
      <c r="G99" s="191"/>
      <c r="H99" s="400"/>
      <c r="I99" s="191"/>
      <c r="J99" s="191"/>
      <c r="K99" s="191"/>
      <c r="L99" s="191"/>
    </row>
    <row r="100" spans="1:12" ht="18">
      <c r="A100" s="398" t="s">
        <v>465</v>
      </c>
      <c r="B100" s="399"/>
      <c r="C100" s="399"/>
      <c r="D100" s="191"/>
      <c r="E100" s="191"/>
      <c r="F100" s="191"/>
      <c r="G100" s="191"/>
      <c r="H100" s="400"/>
      <c r="I100" s="191"/>
      <c r="J100" s="191"/>
      <c r="K100" s="191"/>
      <c r="L100" s="191"/>
    </row>
    <row r="101" spans="1:12" ht="18">
      <c r="A101" s="398" t="s">
        <v>466</v>
      </c>
      <c r="B101" s="399"/>
      <c r="C101" s="399"/>
      <c r="D101" s="191"/>
      <c r="E101" s="191"/>
      <c r="F101" s="191"/>
      <c r="G101" s="191"/>
      <c r="H101" s="400"/>
      <c r="I101" s="191"/>
      <c r="J101" s="191"/>
      <c r="K101" s="191"/>
      <c r="L101" s="191"/>
    </row>
    <row r="102" spans="1:12" ht="18">
      <c r="A102" s="398" t="s">
        <v>467</v>
      </c>
      <c r="B102" s="399"/>
      <c r="C102" s="399"/>
      <c r="D102" s="191"/>
      <c r="E102" s="191"/>
      <c r="F102" s="191"/>
      <c r="G102" s="191"/>
      <c r="H102" s="400"/>
      <c r="I102" s="191"/>
      <c r="J102" s="191"/>
      <c r="K102" s="191"/>
      <c r="L102" s="191"/>
    </row>
    <row r="103" spans="1:12" ht="18.399999999999999" thickBot="1">
      <c r="A103" s="401" t="s">
        <v>525</v>
      </c>
      <c r="B103" s="402"/>
      <c r="C103" s="402"/>
      <c r="D103" s="403"/>
      <c r="E103" s="403"/>
      <c r="F103" s="403"/>
      <c r="G103" s="403"/>
      <c r="H103" s="404"/>
      <c r="I103" s="191"/>
      <c r="J103" s="191"/>
      <c r="K103" s="191"/>
      <c r="L103" s="191"/>
    </row>
    <row r="104" spans="1:12" ht="18">
      <c r="A104" s="405" t="s">
        <v>468</v>
      </c>
      <c r="B104" s="191"/>
      <c r="C104" s="191"/>
      <c r="D104" s="191"/>
      <c r="E104" s="191"/>
      <c r="F104" s="191"/>
      <c r="G104" s="191"/>
      <c r="H104" s="191"/>
      <c r="I104" s="191"/>
      <c r="J104" s="191"/>
      <c r="K104" s="191"/>
      <c r="L104" s="191"/>
    </row>
    <row r="106" spans="1:12" s="2" customFormat="1">
      <c r="A106" s="347">
        <v>6</v>
      </c>
    </row>
    <row r="108" spans="1:12" ht="15.75">
      <c r="A108" s="1034" t="s">
        <v>469</v>
      </c>
      <c r="B108" s="1034"/>
      <c r="C108" s="1034"/>
      <c r="D108" s="1034"/>
      <c r="E108" s="1034"/>
      <c r="F108" s="1034"/>
      <c r="G108" s="1034"/>
      <c r="H108" s="1034"/>
      <c r="I108" s="1034"/>
      <c r="J108" s="1034"/>
      <c r="K108" s="1034"/>
      <c r="L108" s="1034"/>
    </row>
    <row r="109" spans="1:12" ht="38.65" customHeight="1">
      <c r="A109" s="1034" t="s">
        <v>470</v>
      </c>
      <c r="B109" s="1034"/>
      <c r="C109" s="1034"/>
      <c r="D109" s="1034"/>
      <c r="E109" s="1034"/>
      <c r="F109" s="1034"/>
      <c r="G109" s="1034"/>
      <c r="H109" s="1034"/>
      <c r="I109" s="1034"/>
      <c r="J109" s="1034"/>
      <c r="K109" s="1034"/>
      <c r="L109" s="1034"/>
    </row>
    <row r="110" spans="1:12" ht="20.65" customHeight="1">
      <c r="A110" s="1220" t="s">
        <v>471</v>
      </c>
      <c r="B110" s="1221"/>
      <c r="C110" s="1221"/>
      <c r="D110" s="1221"/>
      <c r="E110" s="1221"/>
      <c r="F110" s="1221"/>
      <c r="G110" s="1221"/>
      <c r="H110" s="1221"/>
      <c r="I110" s="1221"/>
      <c r="J110" s="1221"/>
      <c r="K110" s="1221"/>
      <c r="L110" s="1221"/>
    </row>
    <row r="111" spans="1:12" ht="15.75">
      <c r="A111" s="406" t="s">
        <v>472</v>
      </c>
      <c r="B111" s="406">
        <v>0</v>
      </c>
      <c r="C111" s="406">
        <v>1</v>
      </c>
      <c r="D111" s="406">
        <v>2</v>
      </c>
      <c r="E111" s="406">
        <v>3</v>
      </c>
      <c r="F111" s="406">
        <v>4</v>
      </c>
      <c r="G111" s="406">
        <v>5</v>
      </c>
      <c r="H111" s="407"/>
      <c r="I111" s="406"/>
      <c r="J111" s="408"/>
      <c r="K111" s="408"/>
      <c r="L111" s="408"/>
    </row>
    <row r="112" spans="1:12" ht="57.4">
      <c r="A112" s="406"/>
      <c r="B112" s="406" t="s">
        <v>435</v>
      </c>
      <c r="C112" s="406" t="s">
        <v>417</v>
      </c>
      <c r="D112" s="406" t="s">
        <v>418</v>
      </c>
      <c r="E112" s="406" t="s">
        <v>419</v>
      </c>
      <c r="F112" s="406" t="s">
        <v>420</v>
      </c>
      <c r="G112" s="406" t="s">
        <v>421</v>
      </c>
      <c r="H112" s="407" t="s">
        <v>473</v>
      </c>
      <c r="I112" s="406" t="s">
        <v>474</v>
      </c>
      <c r="J112" s="408"/>
      <c r="K112" s="408"/>
      <c r="L112" s="408"/>
    </row>
    <row r="113" spans="1:12" ht="15.75">
      <c r="A113" s="409" t="s">
        <v>475</v>
      </c>
      <c r="B113" s="410">
        <v>1000000</v>
      </c>
      <c r="C113" s="410">
        <v>150000</v>
      </c>
      <c r="D113" s="410">
        <v>250000</v>
      </c>
      <c r="E113" s="410">
        <v>350000</v>
      </c>
      <c r="F113" s="410">
        <v>400000</v>
      </c>
      <c r="G113" s="410">
        <v>450000</v>
      </c>
      <c r="H113" s="411">
        <v>0.03</v>
      </c>
      <c r="I113" s="412">
        <v>0.12</v>
      </c>
      <c r="J113" s="408"/>
      <c r="K113" s="408"/>
      <c r="L113" s="408"/>
    </row>
    <row r="115" spans="1:12" s="2" customFormat="1">
      <c r="A115" s="347">
        <v>7</v>
      </c>
    </row>
    <row r="117" spans="1:12">
      <c r="A117" s="1126" t="s">
        <v>526</v>
      </c>
      <c r="B117" s="1002"/>
      <c r="C117" s="1002"/>
      <c r="D117" s="1002"/>
      <c r="E117" s="1002"/>
      <c r="F117" s="1002"/>
      <c r="G117" s="1002"/>
      <c r="H117" s="1002"/>
      <c r="I117" s="1002"/>
      <c r="J117" s="1002"/>
      <c r="K117" s="1002"/>
      <c r="L117" s="1003"/>
    </row>
    <row r="118" spans="1:12">
      <c r="A118" s="1004"/>
      <c r="B118" s="1005"/>
      <c r="C118" s="1005"/>
      <c r="D118" s="1005"/>
      <c r="E118" s="1005"/>
      <c r="F118" s="1005"/>
      <c r="G118" s="1005"/>
      <c r="H118" s="1005"/>
      <c r="I118" s="1005"/>
      <c r="J118" s="1005"/>
      <c r="K118" s="1005"/>
      <c r="L118" s="1006"/>
    </row>
    <row r="119" spans="1:12">
      <c r="A119" s="1004"/>
      <c r="B119" s="1005"/>
      <c r="C119" s="1005"/>
      <c r="D119" s="1005"/>
      <c r="E119" s="1005"/>
      <c r="F119" s="1005"/>
      <c r="G119" s="1005"/>
      <c r="H119" s="1005"/>
      <c r="I119" s="1005"/>
      <c r="J119" s="1005"/>
      <c r="K119" s="1005"/>
      <c r="L119" s="1006"/>
    </row>
    <row r="120" spans="1:12">
      <c r="A120" s="1004"/>
      <c r="B120" s="1005"/>
      <c r="C120" s="1005"/>
      <c r="D120" s="1005"/>
      <c r="E120" s="1005"/>
      <c r="F120" s="1005"/>
      <c r="G120" s="1005"/>
      <c r="H120" s="1005"/>
      <c r="I120" s="1005"/>
      <c r="J120" s="1005"/>
      <c r="K120" s="1005"/>
      <c r="L120" s="1006"/>
    </row>
    <row r="121" spans="1:12">
      <c r="A121" s="1004"/>
      <c r="B121" s="1005"/>
      <c r="C121" s="1005"/>
      <c r="D121" s="1005"/>
      <c r="E121" s="1005"/>
      <c r="F121" s="1005"/>
      <c r="G121" s="1005"/>
      <c r="H121" s="1005"/>
      <c r="I121" s="1005"/>
      <c r="J121" s="1005"/>
      <c r="K121" s="1005"/>
      <c r="L121" s="1006"/>
    </row>
    <row r="122" spans="1:12">
      <c r="A122" s="1004"/>
      <c r="B122" s="1005"/>
      <c r="C122" s="1005"/>
      <c r="D122" s="1005"/>
      <c r="E122" s="1005"/>
      <c r="F122" s="1005"/>
      <c r="G122" s="1005"/>
      <c r="H122" s="1005"/>
      <c r="I122" s="1005"/>
      <c r="J122" s="1005"/>
      <c r="K122" s="1005"/>
      <c r="L122" s="1006"/>
    </row>
    <row r="123" spans="1:12">
      <c r="A123" s="1004"/>
      <c r="B123" s="1005"/>
      <c r="C123" s="1005"/>
      <c r="D123" s="1005"/>
      <c r="E123" s="1005"/>
      <c r="F123" s="1005"/>
      <c r="G123" s="1005"/>
      <c r="H123" s="1005"/>
      <c r="I123" s="1005"/>
      <c r="J123" s="1005"/>
      <c r="K123" s="1005"/>
      <c r="L123" s="1006"/>
    </row>
    <row r="124" spans="1:12">
      <c r="A124" s="1004"/>
      <c r="B124" s="1005"/>
      <c r="C124" s="1005"/>
      <c r="D124" s="1005"/>
      <c r="E124" s="1005"/>
      <c r="F124" s="1005"/>
      <c r="G124" s="1005"/>
      <c r="H124" s="1005"/>
      <c r="I124" s="1005"/>
      <c r="J124" s="1005"/>
      <c r="K124" s="1005"/>
      <c r="L124" s="1006"/>
    </row>
    <row r="125" spans="1:12">
      <c r="A125" s="1004"/>
      <c r="B125" s="1005"/>
      <c r="C125" s="1005"/>
      <c r="D125" s="1005"/>
      <c r="E125" s="1005"/>
      <c r="F125" s="1005"/>
      <c r="G125" s="1005"/>
      <c r="H125" s="1005"/>
      <c r="I125" s="1005"/>
      <c r="J125" s="1005"/>
      <c r="K125" s="1005"/>
      <c r="L125" s="1006"/>
    </row>
    <row r="126" spans="1:12">
      <c r="A126" s="1004"/>
      <c r="B126" s="1005"/>
      <c r="C126" s="1005"/>
      <c r="D126" s="1005"/>
      <c r="E126" s="1005"/>
      <c r="F126" s="1005"/>
      <c r="G126" s="1005"/>
      <c r="H126" s="1005"/>
      <c r="I126" s="1005"/>
      <c r="J126" s="1005"/>
      <c r="K126" s="1005"/>
      <c r="L126" s="1006"/>
    </row>
    <row r="127" spans="1:12">
      <c r="A127" s="1004"/>
      <c r="B127" s="1005"/>
      <c r="C127" s="1005"/>
      <c r="D127" s="1005"/>
      <c r="E127" s="1005"/>
      <c r="F127" s="1005"/>
      <c r="G127" s="1005"/>
      <c r="H127" s="1005"/>
      <c r="I127" s="1005"/>
      <c r="J127" s="1005"/>
      <c r="K127" s="1005"/>
      <c r="L127" s="1006"/>
    </row>
    <row r="128" spans="1:12">
      <c r="A128" s="1007"/>
      <c r="B128" s="1008"/>
      <c r="C128" s="1008"/>
      <c r="D128" s="1008"/>
      <c r="E128" s="1008"/>
      <c r="F128" s="1008"/>
      <c r="G128" s="1008"/>
      <c r="H128" s="1008"/>
      <c r="I128" s="1008"/>
      <c r="J128" s="1008"/>
      <c r="K128" s="1008"/>
      <c r="L128" s="1009"/>
    </row>
    <row r="130" spans="1:12" s="2" customFormat="1">
      <c r="A130" s="347">
        <v>8</v>
      </c>
    </row>
    <row r="132" spans="1:12" ht="21">
      <c r="A132" s="413" t="s">
        <v>45</v>
      </c>
      <c r="B132" s="413"/>
      <c r="C132" s="413"/>
      <c r="D132" s="5"/>
      <c r="E132" s="5"/>
      <c r="F132" s="5"/>
      <c r="G132" s="5"/>
      <c r="H132" s="5"/>
      <c r="I132" s="5"/>
      <c r="J132" s="5"/>
      <c r="K132" s="5"/>
      <c r="L132" s="5"/>
    </row>
    <row r="133" spans="1:12" ht="21">
      <c r="A133" s="414" t="s">
        <v>453</v>
      </c>
      <c r="B133" s="414" t="s">
        <v>130</v>
      </c>
      <c r="C133" s="414" t="s">
        <v>131</v>
      </c>
      <c r="D133" s="5"/>
      <c r="E133" s="5"/>
      <c r="F133" s="5"/>
      <c r="G133" s="5"/>
      <c r="H133" s="5"/>
      <c r="I133" s="5"/>
      <c r="J133" s="5"/>
      <c r="K133" s="5"/>
      <c r="L133" s="5"/>
    </row>
    <row r="134" spans="1:12" ht="21">
      <c r="A134" s="415" t="s">
        <v>383</v>
      </c>
      <c r="B134" s="416">
        <v>100000</v>
      </c>
      <c r="C134" s="416">
        <v>90000</v>
      </c>
      <c r="D134" s="5"/>
      <c r="E134" s="5"/>
      <c r="F134" s="5"/>
      <c r="G134" s="5"/>
      <c r="H134" s="5"/>
      <c r="I134" s="5"/>
      <c r="J134" s="5"/>
      <c r="K134" s="5"/>
      <c r="L134" s="5"/>
    </row>
    <row r="135" spans="1:12" ht="21">
      <c r="A135" s="415" t="s">
        <v>384</v>
      </c>
      <c r="B135" s="415">
        <v>1.1000000000000001</v>
      </c>
      <c r="C135" s="415">
        <v>2</v>
      </c>
      <c r="D135" s="5"/>
      <c r="E135" s="5"/>
      <c r="F135" s="5"/>
      <c r="G135" s="5"/>
      <c r="H135" s="5"/>
      <c r="I135" s="5"/>
      <c r="J135" s="5"/>
      <c r="K135" s="5"/>
      <c r="L135" s="5"/>
    </row>
    <row r="136" spans="1:12" ht="21">
      <c r="A136" s="415" t="s">
        <v>455</v>
      </c>
      <c r="B136" s="417">
        <v>0.08</v>
      </c>
      <c r="C136" s="417">
        <v>0.19</v>
      </c>
      <c r="D136" s="5"/>
      <c r="E136" s="5"/>
      <c r="F136" s="5"/>
      <c r="G136" s="5"/>
      <c r="H136" s="5"/>
      <c r="I136" s="5"/>
      <c r="J136" s="5"/>
      <c r="K136" s="5"/>
      <c r="L136" s="5"/>
    </row>
    <row r="137" spans="1:12" ht="15.75">
      <c r="A137" s="5"/>
      <c r="B137" s="5"/>
      <c r="C137" s="5"/>
      <c r="D137" s="5"/>
      <c r="E137" s="5"/>
      <c r="F137" s="5"/>
      <c r="G137" s="5"/>
      <c r="H137" s="5"/>
      <c r="I137" s="5"/>
      <c r="J137" s="5"/>
      <c r="K137" s="5"/>
      <c r="L137" s="5"/>
    </row>
    <row r="139" spans="1:12">
      <c r="A139" s="963" t="s">
        <v>476</v>
      </c>
      <c r="B139" s="964"/>
      <c r="C139" s="964"/>
      <c r="D139" s="964"/>
      <c r="E139" s="964"/>
      <c r="F139" s="964"/>
      <c r="G139" s="964"/>
      <c r="H139" s="964"/>
      <c r="I139" s="964"/>
      <c r="J139" s="964"/>
      <c r="K139" s="964"/>
      <c r="L139" s="965"/>
    </row>
    <row r="140" spans="1:12">
      <c r="A140" s="966"/>
      <c r="B140" s="967"/>
      <c r="C140" s="967"/>
      <c r="D140" s="967"/>
      <c r="E140" s="967"/>
      <c r="F140" s="967"/>
      <c r="G140" s="967"/>
      <c r="H140" s="967"/>
      <c r="I140" s="967"/>
      <c r="J140" s="967"/>
      <c r="K140" s="967"/>
      <c r="L140" s="968"/>
    </row>
    <row r="141" spans="1:12">
      <c r="A141" s="966"/>
      <c r="B141" s="967"/>
      <c r="C141" s="967"/>
      <c r="D141" s="967"/>
      <c r="E141" s="967"/>
      <c r="F141" s="967"/>
      <c r="G141" s="967"/>
      <c r="H141" s="967"/>
      <c r="I141" s="967"/>
      <c r="J141" s="967"/>
      <c r="K141" s="967"/>
      <c r="L141" s="968"/>
    </row>
    <row r="142" spans="1:12">
      <c r="A142" s="966"/>
      <c r="B142" s="967"/>
      <c r="C142" s="967"/>
      <c r="D142" s="967"/>
      <c r="E142" s="967"/>
      <c r="F142" s="967"/>
      <c r="G142" s="967"/>
      <c r="H142" s="967"/>
      <c r="I142" s="967"/>
      <c r="J142" s="967"/>
      <c r="K142" s="967"/>
      <c r="L142" s="968"/>
    </row>
    <row r="143" spans="1:12">
      <c r="A143" s="966"/>
      <c r="B143" s="967"/>
      <c r="C143" s="967"/>
      <c r="D143" s="967"/>
      <c r="E143" s="967"/>
      <c r="F143" s="967"/>
      <c r="G143" s="967"/>
      <c r="H143" s="967"/>
      <c r="I143" s="967"/>
      <c r="J143" s="967"/>
      <c r="K143" s="967"/>
      <c r="L143" s="968"/>
    </row>
    <row r="144" spans="1:12">
      <c r="A144" s="966"/>
      <c r="B144" s="967"/>
      <c r="C144" s="967"/>
      <c r="D144" s="967"/>
      <c r="E144" s="967"/>
      <c r="F144" s="967"/>
      <c r="G144" s="967"/>
      <c r="H144" s="967"/>
      <c r="I144" s="967"/>
      <c r="J144" s="967"/>
      <c r="K144" s="967"/>
      <c r="L144" s="968"/>
    </row>
    <row r="145" spans="1:12" ht="27" customHeight="1">
      <c r="A145" s="969"/>
      <c r="B145" s="970"/>
      <c r="C145" s="970"/>
      <c r="D145" s="970"/>
      <c r="E145" s="970"/>
      <c r="F145" s="970"/>
      <c r="G145" s="970"/>
      <c r="H145" s="970"/>
      <c r="I145" s="970"/>
      <c r="J145" s="970"/>
      <c r="K145" s="970"/>
      <c r="L145" s="971"/>
    </row>
    <row r="147" spans="1:12" s="2" customFormat="1">
      <c r="A147" s="347">
        <v>9</v>
      </c>
      <c r="B147" s="347"/>
    </row>
    <row r="149" spans="1:12" ht="15.75">
      <c r="A149" s="1198" t="s">
        <v>477</v>
      </c>
      <c r="B149" s="1199"/>
      <c r="C149" s="1199"/>
      <c r="D149" s="1199"/>
      <c r="E149" s="1199"/>
      <c r="F149" s="1199"/>
      <c r="G149" s="1199"/>
      <c r="H149" s="1199"/>
      <c r="I149" s="1199"/>
      <c r="J149" s="1199"/>
      <c r="K149" s="1199"/>
      <c r="L149" s="1200"/>
    </row>
    <row r="150" spans="1:12">
      <c r="A150" s="418" t="s">
        <v>478</v>
      </c>
      <c r="B150" s="419" t="s">
        <v>205</v>
      </c>
      <c r="C150" s="420"/>
      <c r="D150" s="420"/>
      <c r="E150" s="420"/>
      <c r="F150" s="420"/>
      <c r="G150" s="420"/>
      <c r="H150" s="420"/>
      <c r="I150" s="420"/>
      <c r="J150" s="420"/>
      <c r="K150" s="420"/>
      <c r="L150" s="421"/>
    </row>
    <row r="151" spans="1:12">
      <c r="A151" s="418" t="s">
        <v>27</v>
      </c>
      <c r="B151" s="422">
        <v>-200000</v>
      </c>
      <c r="C151" s="420"/>
      <c r="D151" s="420"/>
      <c r="E151" s="420"/>
      <c r="F151" s="420"/>
      <c r="G151" s="420"/>
      <c r="H151" s="420"/>
      <c r="I151" s="420"/>
      <c r="J151" s="420"/>
      <c r="K151" s="420"/>
      <c r="L151" s="421"/>
    </row>
    <row r="152" spans="1:12">
      <c r="A152" s="418" t="s">
        <v>479</v>
      </c>
      <c r="B152" s="422">
        <v>800000</v>
      </c>
      <c r="C152" s="420"/>
      <c r="D152" s="420" t="s">
        <v>480</v>
      </c>
      <c r="E152" s="420"/>
      <c r="F152" s="420"/>
      <c r="G152" s="420"/>
      <c r="H152" s="420"/>
      <c r="I152" s="420"/>
      <c r="J152" s="420"/>
      <c r="K152" s="420"/>
      <c r="L152" s="421"/>
    </row>
    <row r="153" spans="1:12">
      <c r="A153" s="418" t="s">
        <v>90</v>
      </c>
      <c r="B153" s="422">
        <v>-150000</v>
      </c>
      <c r="C153" s="420"/>
      <c r="D153" s="420"/>
      <c r="E153" s="420"/>
      <c r="F153" s="420"/>
      <c r="G153" s="420"/>
      <c r="H153" s="420"/>
      <c r="I153" s="420"/>
      <c r="J153" s="420"/>
      <c r="K153" s="420"/>
      <c r="L153" s="421"/>
    </row>
    <row r="154" spans="1:12">
      <c r="A154" s="418" t="s">
        <v>65</v>
      </c>
      <c r="B154" s="423">
        <f>B152+B153</f>
        <v>650000</v>
      </c>
      <c r="C154" s="420"/>
      <c r="D154" s="420" t="s">
        <v>474</v>
      </c>
      <c r="E154" s="420"/>
      <c r="F154" s="424">
        <v>0.1</v>
      </c>
      <c r="G154" s="420"/>
      <c r="H154" s="420"/>
      <c r="I154" s="420"/>
      <c r="J154" s="420"/>
      <c r="K154" s="420"/>
      <c r="L154" s="421"/>
    </row>
    <row r="155" spans="1:12">
      <c r="A155" s="418" t="s">
        <v>343</v>
      </c>
      <c r="B155" s="422">
        <v>-195000</v>
      </c>
      <c r="C155" s="425"/>
      <c r="D155" s="420" t="s">
        <v>481</v>
      </c>
      <c r="E155" s="420"/>
      <c r="F155" s="424">
        <v>0.05</v>
      </c>
      <c r="G155" s="420"/>
      <c r="H155" s="420"/>
      <c r="I155" s="420"/>
      <c r="J155" s="420"/>
      <c r="K155" s="420"/>
      <c r="L155" s="421"/>
    </row>
    <row r="156" spans="1:12">
      <c r="A156" s="418" t="s">
        <v>43</v>
      </c>
      <c r="B156" s="419" t="s">
        <v>205</v>
      </c>
      <c r="C156" s="420"/>
      <c r="D156" s="420" t="s">
        <v>482</v>
      </c>
      <c r="E156" s="420"/>
      <c r="F156" s="424">
        <v>0.01</v>
      </c>
      <c r="G156" s="420"/>
      <c r="H156" s="420"/>
      <c r="I156" s="420"/>
      <c r="J156" s="420"/>
      <c r="K156" s="420"/>
      <c r="L156" s="421"/>
    </row>
    <row r="157" spans="1:12">
      <c r="A157" s="418"/>
      <c r="B157" s="422"/>
      <c r="C157" s="420"/>
      <c r="D157" s="420" t="s">
        <v>527</v>
      </c>
      <c r="E157" s="420"/>
      <c r="F157" s="420"/>
      <c r="G157" s="420"/>
      <c r="H157" s="420"/>
      <c r="I157" s="420"/>
      <c r="J157" s="420"/>
      <c r="K157" s="420"/>
      <c r="L157" s="421"/>
    </row>
    <row r="158" spans="1:12">
      <c r="A158" s="426" t="s">
        <v>483</v>
      </c>
      <c r="B158" s="419" t="s">
        <v>205</v>
      </c>
      <c r="C158" s="427"/>
      <c r="D158" s="427"/>
      <c r="E158" s="427"/>
      <c r="F158" s="427"/>
      <c r="G158" s="427"/>
      <c r="H158" s="427"/>
      <c r="I158" s="427"/>
      <c r="J158" s="427"/>
      <c r="K158" s="427"/>
      <c r="L158" s="428"/>
    </row>
    <row r="159" spans="1:12">
      <c r="A159" s="1201" t="s">
        <v>484</v>
      </c>
      <c r="B159" s="988"/>
      <c r="C159" s="988"/>
      <c r="D159" s="988"/>
      <c r="E159" s="988"/>
      <c r="F159" s="988"/>
      <c r="G159" s="988"/>
      <c r="H159" s="988"/>
      <c r="I159" s="988"/>
      <c r="J159" s="988"/>
      <c r="K159" s="988"/>
      <c r="L159" s="989"/>
    </row>
    <row r="160" spans="1:12">
      <c r="A160" s="990"/>
      <c r="B160" s="981"/>
      <c r="C160" s="981"/>
      <c r="D160" s="981"/>
      <c r="E160" s="981"/>
      <c r="F160" s="981"/>
      <c r="G160" s="981"/>
      <c r="H160" s="981"/>
      <c r="I160" s="981"/>
      <c r="J160" s="981"/>
      <c r="K160" s="981"/>
      <c r="L160" s="991"/>
    </row>
    <row r="161" spans="1:12">
      <c r="A161" s="983"/>
      <c r="B161" s="984"/>
      <c r="C161" s="984"/>
      <c r="D161" s="984"/>
      <c r="E161" s="984"/>
      <c r="F161" s="984"/>
      <c r="G161" s="984"/>
      <c r="H161" s="984"/>
      <c r="I161" s="984"/>
      <c r="J161" s="984"/>
      <c r="K161" s="984"/>
      <c r="L161" s="985"/>
    </row>
    <row r="163" spans="1:12" s="2" customFormat="1">
      <c r="A163" s="347">
        <v>10</v>
      </c>
      <c r="B163" s="347"/>
    </row>
    <row r="165" spans="1:12">
      <c r="A165" s="429" t="s">
        <v>485</v>
      </c>
      <c r="B165" s="430"/>
      <c r="C165" s="430"/>
      <c r="D165" s="430"/>
      <c r="E165" s="430"/>
      <c r="F165" s="430"/>
      <c r="G165" s="430"/>
      <c r="H165" s="430"/>
      <c r="I165" s="430"/>
      <c r="J165" s="430"/>
      <c r="K165" s="430"/>
      <c r="L165" s="431"/>
    </row>
    <row r="166" spans="1:12">
      <c r="A166" s="418" t="s">
        <v>486</v>
      </c>
      <c r="B166" s="420"/>
      <c r="C166" s="420"/>
      <c r="D166" s="420"/>
      <c r="E166" s="420"/>
      <c r="F166" s="420"/>
      <c r="G166" s="420"/>
      <c r="H166" s="420"/>
      <c r="I166" s="420"/>
      <c r="J166" s="420"/>
      <c r="K166" s="420"/>
      <c r="L166" s="421"/>
    </row>
    <row r="167" spans="1:12">
      <c r="A167" s="418" t="s">
        <v>487</v>
      </c>
      <c r="B167" s="432"/>
      <c r="C167" s="420"/>
      <c r="D167" s="420"/>
      <c r="E167" s="420"/>
      <c r="F167" s="420"/>
      <c r="G167" s="420"/>
      <c r="H167" s="420"/>
      <c r="I167" s="420"/>
      <c r="J167" s="420"/>
      <c r="K167" s="420"/>
      <c r="L167" s="421"/>
    </row>
    <row r="168" spans="1:12">
      <c r="A168" s="418"/>
      <c r="B168" s="432"/>
      <c r="C168" s="420"/>
      <c r="D168" s="420"/>
      <c r="E168" s="420"/>
      <c r="F168" s="420"/>
      <c r="G168" s="420"/>
      <c r="H168" s="420"/>
      <c r="I168" s="420"/>
      <c r="J168" s="420"/>
      <c r="K168" s="420"/>
      <c r="L168" s="421"/>
    </row>
    <row r="169" spans="1:12" ht="15.75">
      <c r="A169" s="418" t="s">
        <v>488</v>
      </c>
      <c r="B169" s="433">
        <v>0</v>
      </c>
      <c r="C169" s="433">
        <v>1</v>
      </c>
      <c r="D169" s="433">
        <v>2</v>
      </c>
      <c r="E169" s="433">
        <v>3</v>
      </c>
      <c r="F169" s="433">
        <v>4</v>
      </c>
      <c r="G169" s="433">
        <v>5</v>
      </c>
      <c r="H169" s="420"/>
      <c r="I169" s="420"/>
      <c r="J169" s="420"/>
      <c r="K169" s="420"/>
      <c r="L169" s="421"/>
    </row>
    <row r="170" spans="1:12">
      <c r="A170" s="434"/>
      <c r="B170" s="435">
        <v>-100000</v>
      </c>
      <c r="C170" s="435">
        <v>25000</v>
      </c>
      <c r="D170" s="435">
        <v>20000</v>
      </c>
      <c r="E170" s="435">
        <v>20000</v>
      </c>
      <c r="F170" s="435">
        <v>20000</v>
      </c>
      <c r="G170" s="435">
        <v>20000</v>
      </c>
      <c r="H170" s="427"/>
      <c r="I170" s="427"/>
      <c r="J170" s="427"/>
      <c r="K170" s="427"/>
      <c r="L170" s="428"/>
    </row>
    <row r="171" spans="1:12">
      <c r="A171" s="987" t="s">
        <v>489</v>
      </c>
      <c r="B171" s="988"/>
      <c r="C171" s="988"/>
      <c r="D171" s="988"/>
      <c r="E171" s="988"/>
      <c r="F171" s="988"/>
      <c r="G171" s="988"/>
      <c r="H171" s="988"/>
      <c r="I171" s="988"/>
      <c r="J171" s="988"/>
      <c r="K171" s="988"/>
      <c r="L171" s="989"/>
    </row>
    <row r="172" spans="1:12">
      <c r="A172" s="990"/>
      <c r="B172" s="981"/>
      <c r="C172" s="981"/>
      <c r="D172" s="981"/>
      <c r="E172" s="981"/>
      <c r="F172" s="981"/>
      <c r="G172" s="981"/>
      <c r="H172" s="981"/>
      <c r="I172" s="981"/>
      <c r="J172" s="981"/>
      <c r="K172" s="981"/>
      <c r="L172" s="991"/>
    </row>
    <row r="173" spans="1:12">
      <c r="A173" s="990"/>
      <c r="B173" s="981"/>
      <c r="C173" s="981"/>
      <c r="D173" s="981"/>
      <c r="E173" s="981"/>
      <c r="F173" s="981"/>
      <c r="G173" s="981"/>
      <c r="H173" s="981"/>
      <c r="I173" s="981"/>
      <c r="J173" s="981"/>
      <c r="K173" s="981"/>
      <c r="L173" s="991"/>
    </row>
    <row r="174" spans="1:12">
      <c r="A174" s="990"/>
      <c r="B174" s="981"/>
      <c r="C174" s="981"/>
      <c r="D174" s="981"/>
      <c r="E174" s="981"/>
      <c r="F174" s="981"/>
      <c r="G174" s="981"/>
      <c r="H174" s="981"/>
      <c r="I174" s="981"/>
      <c r="J174" s="981"/>
      <c r="K174" s="981"/>
      <c r="L174" s="991"/>
    </row>
    <row r="176" spans="1:12" s="2" customFormat="1">
      <c r="A176" s="347">
        <v>11</v>
      </c>
      <c r="B176" s="347"/>
    </row>
    <row r="178" spans="1:12" ht="14.65" customHeight="1">
      <c r="A178" s="1202" t="s">
        <v>490</v>
      </c>
      <c r="B178" s="1203"/>
      <c r="C178" s="1203"/>
      <c r="D178" s="1203"/>
      <c r="E178" s="1203"/>
      <c r="F178" s="1203"/>
      <c r="G178" s="1203"/>
      <c r="H178" s="1203"/>
      <c r="I178" s="1203"/>
      <c r="J178" s="1203"/>
      <c r="K178" s="1203"/>
      <c r="L178" s="1204"/>
    </row>
    <row r="179" spans="1:12" ht="14.65" customHeight="1">
      <c r="A179" s="1205"/>
      <c r="B179" s="1206"/>
      <c r="C179" s="1206"/>
      <c r="D179" s="1206"/>
      <c r="E179" s="1206"/>
      <c r="F179" s="1206"/>
      <c r="G179" s="1206"/>
      <c r="H179" s="1206"/>
      <c r="I179" s="1206"/>
      <c r="J179" s="1206"/>
      <c r="K179" s="1206"/>
      <c r="L179" s="1207"/>
    </row>
    <row r="180" spans="1:12" ht="14.65" customHeight="1">
      <c r="A180" s="1205"/>
      <c r="B180" s="1206"/>
      <c r="C180" s="1206"/>
      <c r="D180" s="1206"/>
      <c r="E180" s="1206"/>
      <c r="F180" s="1206"/>
      <c r="G180" s="1206"/>
      <c r="H180" s="1206"/>
      <c r="I180" s="1206"/>
      <c r="J180" s="1206"/>
      <c r="K180" s="1206"/>
      <c r="L180" s="1207"/>
    </row>
    <row r="181" spans="1:12" ht="14.65" customHeight="1">
      <c r="A181" s="1205"/>
      <c r="B181" s="1206"/>
      <c r="C181" s="1206"/>
      <c r="D181" s="1206"/>
      <c r="E181" s="1206"/>
      <c r="F181" s="1206"/>
      <c r="G181" s="1206"/>
      <c r="H181" s="1206"/>
      <c r="I181" s="1206"/>
      <c r="J181" s="1206"/>
      <c r="K181" s="1206"/>
      <c r="L181" s="1207"/>
    </row>
    <row r="182" spans="1:12" ht="14.65" customHeight="1">
      <c r="A182" s="1205"/>
      <c r="B182" s="1206"/>
      <c r="C182" s="1206"/>
      <c r="D182" s="1206"/>
      <c r="E182" s="1206"/>
      <c r="F182" s="1206"/>
      <c r="G182" s="1206"/>
      <c r="H182" s="1206"/>
      <c r="I182" s="1206"/>
      <c r="J182" s="1206"/>
      <c r="K182" s="1206"/>
      <c r="L182" s="1207"/>
    </row>
    <row r="183" spans="1:12" ht="201" customHeight="1">
      <c r="A183" s="1208"/>
      <c r="B183" s="1209"/>
      <c r="C183" s="1209"/>
      <c r="D183" s="1209"/>
      <c r="E183" s="1209"/>
      <c r="F183" s="1209"/>
      <c r="G183" s="1209"/>
      <c r="H183" s="1209"/>
      <c r="I183" s="1209"/>
      <c r="J183" s="1209"/>
      <c r="K183" s="1209"/>
      <c r="L183" s="1210"/>
    </row>
    <row r="184" spans="1:12" ht="15.75">
      <c r="A184" s="1173" t="s">
        <v>491</v>
      </c>
      <c r="B184" s="1174"/>
      <c r="C184" s="1174"/>
      <c r="D184" s="1174"/>
      <c r="E184" s="1174"/>
      <c r="F184" s="1174"/>
      <c r="G184" s="1174"/>
      <c r="H184" s="1174"/>
      <c r="I184" s="1174"/>
      <c r="J184" s="1174"/>
      <c r="K184" s="1174"/>
      <c r="L184" s="1175"/>
    </row>
    <row r="185" spans="1:12" ht="15.75">
      <c r="A185" s="1146" t="s">
        <v>492</v>
      </c>
      <c r="B185" s="1147"/>
      <c r="C185" s="1147"/>
      <c r="D185" s="1147"/>
      <c r="E185" s="1147"/>
      <c r="F185" s="1147"/>
      <c r="G185" s="1147"/>
      <c r="H185" s="1147"/>
      <c r="I185" s="1147"/>
      <c r="J185" s="1147"/>
      <c r="K185" s="1147"/>
      <c r="L185" s="1148"/>
    </row>
    <row r="186" spans="1:12" ht="15.75">
      <c r="A186" s="1146" t="s">
        <v>493</v>
      </c>
      <c r="B186" s="1147"/>
      <c r="C186" s="1147"/>
      <c r="D186" s="1147"/>
      <c r="E186" s="1147"/>
      <c r="F186" s="1147"/>
      <c r="G186" s="1147"/>
      <c r="H186" s="1147"/>
      <c r="I186" s="1147"/>
      <c r="J186" s="1147"/>
      <c r="K186" s="1147"/>
      <c r="L186" s="1148"/>
    </row>
    <row r="187" spans="1:12" ht="15.75">
      <c r="A187" s="1146" t="s">
        <v>494</v>
      </c>
      <c r="B187" s="1147"/>
      <c r="C187" s="1147"/>
      <c r="D187" s="1147"/>
      <c r="E187" s="1147"/>
      <c r="F187" s="1147"/>
      <c r="G187" s="1147"/>
      <c r="H187" s="1147"/>
      <c r="I187" s="1147"/>
      <c r="J187" s="1147"/>
      <c r="K187" s="1147"/>
      <c r="L187" s="1148"/>
    </row>
    <row r="188" spans="1:12" ht="15.75">
      <c r="A188" s="1214" t="s">
        <v>495</v>
      </c>
      <c r="B188" s="1215"/>
      <c r="C188" s="1215"/>
      <c r="D188" s="1215"/>
      <c r="E188" s="1215"/>
      <c r="F188" s="1215"/>
      <c r="G188" s="1215"/>
      <c r="H188" s="1215"/>
      <c r="I188" s="1215"/>
      <c r="J188" s="1215"/>
      <c r="K188" s="1215"/>
      <c r="L188" s="1216"/>
    </row>
    <row r="190" spans="1:12" s="2" customFormat="1">
      <c r="A190" s="347">
        <v>12</v>
      </c>
      <c r="B190" s="347"/>
    </row>
    <row r="192" spans="1:12" ht="14.65" customHeight="1">
      <c r="A192" s="1143" t="s">
        <v>496</v>
      </c>
      <c r="B192" s="1144"/>
      <c r="C192" s="1144"/>
      <c r="D192" s="1144"/>
      <c r="E192" s="1144"/>
      <c r="F192" s="1144"/>
      <c r="G192" s="1144"/>
      <c r="H192" s="1144"/>
      <c r="I192" s="1144"/>
      <c r="J192" s="1144"/>
      <c r="K192" s="1144"/>
      <c r="L192" s="1145"/>
    </row>
    <row r="193" spans="1:12" ht="14.65" customHeight="1">
      <c r="A193" s="1146"/>
      <c r="B193" s="1147"/>
      <c r="C193" s="1147"/>
      <c r="D193" s="1147"/>
      <c r="E193" s="1147"/>
      <c r="F193" s="1147"/>
      <c r="G193" s="1147"/>
      <c r="H193" s="1147"/>
      <c r="I193" s="1147"/>
      <c r="J193" s="1147"/>
      <c r="K193" s="1147"/>
      <c r="L193" s="1148"/>
    </row>
    <row r="194" spans="1:12" ht="14.65" customHeight="1">
      <c r="A194" s="1146"/>
      <c r="B194" s="1147"/>
      <c r="C194" s="1147"/>
      <c r="D194" s="1147"/>
      <c r="E194" s="1147"/>
      <c r="F194" s="1147"/>
      <c r="G194" s="1147"/>
      <c r="H194" s="1147"/>
      <c r="I194" s="1147"/>
      <c r="J194" s="1147"/>
      <c r="K194" s="1147"/>
      <c r="L194" s="1148"/>
    </row>
    <row r="195" spans="1:12" ht="14.65" customHeight="1">
      <c r="A195" s="1146"/>
      <c r="B195" s="1147"/>
      <c r="C195" s="1147"/>
      <c r="D195" s="1147"/>
      <c r="E195" s="1147"/>
      <c r="F195" s="1147"/>
      <c r="G195" s="1147"/>
      <c r="H195" s="1147"/>
      <c r="I195" s="1147"/>
      <c r="J195" s="1147"/>
      <c r="K195" s="1147"/>
      <c r="L195" s="1148"/>
    </row>
    <row r="196" spans="1:12" ht="15.75">
      <c r="A196" s="1217" t="s">
        <v>497</v>
      </c>
      <c r="B196" s="1218"/>
      <c r="C196" s="1218"/>
      <c r="D196" s="1218"/>
      <c r="E196" s="1218"/>
      <c r="F196" s="1218"/>
      <c r="G196" s="1218"/>
      <c r="H196" s="1218"/>
      <c r="I196" s="1218"/>
      <c r="J196" s="1218"/>
      <c r="K196" s="1218"/>
      <c r="L196" s="1219"/>
    </row>
    <row r="197" spans="1:12" ht="15.75">
      <c r="A197" s="1211" t="s">
        <v>498</v>
      </c>
      <c r="B197" s="1212"/>
      <c r="C197" s="1212"/>
      <c r="D197" s="1212"/>
      <c r="E197" s="1212"/>
      <c r="F197" s="1212"/>
      <c r="G197" s="1212"/>
      <c r="H197" s="1212"/>
      <c r="I197" s="1212"/>
      <c r="J197" s="1212"/>
      <c r="K197" s="1212"/>
      <c r="L197" s="1213"/>
    </row>
    <row r="198" spans="1:12" ht="15.75">
      <c r="A198" s="1211" t="s">
        <v>499</v>
      </c>
      <c r="B198" s="1212"/>
      <c r="C198" s="1212"/>
      <c r="D198" s="1212"/>
      <c r="E198" s="1212"/>
      <c r="F198" s="1212"/>
      <c r="G198" s="1212"/>
      <c r="H198" s="1212"/>
      <c r="I198" s="1212"/>
      <c r="J198" s="1212"/>
      <c r="K198" s="1212"/>
      <c r="L198" s="1213"/>
    </row>
    <row r="199" spans="1:12" ht="15.75">
      <c r="A199" s="1211" t="s">
        <v>500</v>
      </c>
      <c r="B199" s="1212"/>
      <c r="C199" s="1212"/>
      <c r="D199" s="1212"/>
      <c r="E199" s="1212"/>
      <c r="F199" s="1212"/>
      <c r="G199" s="1212"/>
      <c r="H199" s="1212"/>
      <c r="I199" s="1212"/>
      <c r="J199" s="1212"/>
      <c r="K199" s="1212"/>
      <c r="L199" s="1213"/>
    </row>
    <row r="200" spans="1:12" ht="15.75">
      <c r="A200" s="1211" t="s">
        <v>501</v>
      </c>
      <c r="B200" s="1212"/>
      <c r="C200" s="1212"/>
      <c r="D200" s="1212"/>
      <c r="E200" s="1212"/>
      <c r="F200" s="1212"/>
      <c r="G200" s="1212"/>
      <c r="H200" s="1212"/>
      <c r="I200" s="1212"/>
      <c r="J200" s="1212"/>
      <c r="K200" s="1212"/>
      <c r="L200" s="1213"/>
    </row>
    <row r="201" spans="1:12" ht="15.75">
      <c r="A201" s="1211" t="s">
        <v>502</v>
      </c>
      <c r="B201" s="1212"/>
      <c r="C201" s="1212"/>
      <c r="D201" s="1212"/>
      <c r="E201" s="1212"/>
      <c r="F201" s="1212"/>
      <c r="G201" s="1212"/>
      <c r="H201" s="1212"/>
      <c r="I201" s="1212"/>
      <c r="J201" s="1212"/>
      <c r="K201" s="1212"/>
      <c r="L201" s="1213"/>
    </row>
    <row r="202" spans="1:12" ht="15.75">
      <c r="A202" s="1211" t="s">
        <v>503</v>
      </c>
      <c r="B202" s="1212"/>
      <c r="C202" s="1212"/>
      <c r="D202" s="1212"/>
      <c r="E202" s="1212"/>
      <c r="F202" s="1212"/>
      <c r="G202" s="1212"/>
      <c r="H202" s="1212"/>
      <c r="I202" s="1212"/>
      <c r="J202" s="1212"/>
      <c r="K202" s="1212"/>
      <c r="L202" s="1213"/>
    </row>
    <row r="203" spans="1:12" ht="15.75">
      <c r="A203" s="1211" t="s">
        <v>504</v>
      </c>
      <c r="B203" s="1212"/>
      <c r="C203" s="1212"/>
      <c r="D203" s="1212"/>
      <c r="E203" s="1212"/>
      <c r="F203" s="1212"/>
      <c r="G203" s="1212"/>
      <c r="H203" s="1212"/>
      <c r="I203" s="1212"/>
      <c r="J203" s="1212"/>
      <c r="K203" s="1212"/>
      <c r="L203" s="1213"/>
    </row>
    <row r="204" spans="1:12" ht="15.75">
      <c r="A204" s="440" t="s">
        <v>525</v>
      </c>
      <c r="B204" s="323"/>
      <c r="C204" s="323"/>
      <c r="D204" s="323"/>
      <c r="E204" s="323"/>
      <c r="F204" s="323"/>
      <c r="G204" s="323"/>
      <c r="H204" s="323"/>
      <c r="I204" s="323"/>
      <c r="J204" s="323"/>
      <c r="K204" s="323"/>
      <c r="L204" s="324"/>
    </row>
    <row r="205" spans="1:12" ht="15.75">
      <c r="A205" s="1236" t="s">
        <v>505</v>
      </c>
      <c r="B205" s="1237"/>
      <c r="C205" s="1237"/>
      <c r="D205" s="1237"/>
      <c r="E205" s="1237"/>
      <c r="F205" s="1237"/>
      <c r="G205" s="1237"/>
      <c r="H205" s="1237"/>
      <c r="I205" s="1237"/>
      <c r="J205" s="1237"/>
      <c r="K205" s="1237"/>
      <c r="L205" s="1238"/>
    </row>
    <row r="207" spans="1:12" s="2" customFormat="1">
      <c r="A207" s="347">
        <v>13</v>
      </c>
      <c r="B207" s="347"/>
    </row>
    <row r="209" spans="1:11" ht="15.75">
      <c r="A209" s="1138" t="s">
        <v>443</v>
      </c>
      <c r="B209" s="1139"/>
      <c r="C209" s="1139"/>
      <c r="D209" s="1139"/>
      <c r="E209" s="1139"/>
      <c r="F209" s="1139"/>
      <c r="G209" s="1139"/>
      <c r="H209" s="1139"/>
      <c r="I209" s="1139"/>
      <c r="J209" s="1139"/>
      <c r="K209" s="1139"/>
    </row>
    <row r="210" spans="1:11" ht="15.75" customHeight="1">
      <c r="A210" s="967" t="s">
        <v>506</v>
      </c>
      <c r="B210" s="967"/>
      <c r="C210" s="967"/>
      <c r="D210" s="967"/>
      <c r="E210" s="967"/>
      <c r="F210" s="967"/>
      <c r="G210" s="967"/>
      <c r="H210" s="967"/>
      <c r="I210" s="967"/>
      <c r="J210" s="967"/>
      <c r="K210" s="967"/>
    </row>
    <row r="211" spans="1:11" ht="15.75" customHeight="1">
      <c r="A211" s="967"/>
      <c r="B211" s="967"/>
      <c r="C211" s="967"/>
      <c r="D211" s="967"/>
      <c r="E211" s="967"/>
      <c r="F211" s="967"/>
      <c r="G211" s="967"/>
      <c r="H211" s="967"/>
      <c r="I211" s="967"/>
      <c r="J211" s="967"/>
      <c r="K211" s="967"/>
    </row>
    <row r="212" spans="1:11">
      <c r="A212" s="967"/>
      <c r="B212" s="967"/>
      <c r="C212" s="967"/>
      <c r="D212" s="967"/>
      <c r="E212" s="967"/>
      <c r="F212" s="967"/>
      <c r="G212" s="967"/>
      <c r="H212" s="967"/>
      <c r="I212" s="967"/>
      <c r="J212" s="967"/>
      <c r="K212" s="967"/>
    </row>
    <row r="213" spans="1:11" ht="15.75">
      <c r="A213" s="969" t="s">
        <v>507</v>
      </c>
      <c r="B213" s="970"/>
      <c r="C213" s="970"/>
      <c r="D213" s="970"/>
      <c r="E213" s="970"/>
      <c r="F213" s="970"/>
      <c r="G213" s="970"/>
      <c r="H213" s="970"/>
      <c r="I213" s="970"/>
      <c r="J213" s="970"/>
      <c r="K213" s="970"/>
    </row>
    <row r="215" spans="1:11" s="2" customFormat="1">
      <c r="A215" s="347">
        <v>14</v>
      </c>
      <c r="B215" s="347"/>
    </row>
    <row r="217" spans="1:11" ht="21">
      <c r="A217" s="976" t="s">
        <v>508</v>
      </c>
      <c r="B217" s="977"/>
      <c r="C217" s="977"/>
      <c r="D217" s="977"/>
      <c r="E217" s="977"/>
      <c r="F217" s="977"/>
      <c r="G217" s="977"/>
      <c r="H217" s="977"/>
      <c r="I217" s="977"/>
      <c r="J217" s="977"/>
      <c r="K217" s="977"/>
    </row>
    <row r="218" spans="1:11" ht="14.65" customHeight="1">
      <c r="A218" s="981" t="s">
        <v>509</v>
      </c>
      <c r="B218" s="981"/>
      <c r="C218" s="981"/>
      <c r="D218" s="981"/>
      <c r="E218" s="981"/>
      <c r="F218" s="981"/>
      <c r="G218" s="981"/>
      <c r="H218" s="981"/>
      <c r="I218" s="981"/>
      <c r="J218" s="981"/>
      <c r="K218" s="981"/>
    </row>
    <row r="219" spans="1:11">
      <c r="A219" s="981"/>
      <c r="B219" s="981"/>
      <c r="C219" s="981"/>
      <c r="D219" s="981"/>
      <c r="E219" s="981"/>
      <c r="F219" s="981"/>
      <c r="G219" s="981"/>
      <c r="H219" s="981"/>
      <c r="I219" s="981"/>
      <c r="J219" s="981"/>
      <c r="K219" s="981"/>
    </row>
    <row r="220" spans="1:11">
      <c r="A220" s="981"/>
      <c r="B220" s="981"/>
      <c r="C220" s="981"/>
      <c r="D220" s="981"/>
      <c r="E220" s="981"/>
      <c r="F220" s="981"/>
      <c r="G220" s="981"/>
      <c r="H220" s="981"/>
      <c r="I220" s="981"/>
      <c r="J220" s="981"/>
      <c r="K220" s="981"/>
    </row>
    <row r="222" spans="1:11" s="2" customFormat="1">
      <c r="A222" s="347">
        <v>15</v>
      </c>
      <c r="B222" s="347"/>
    </row>
    <row r="224" spans="1:11" ht="15.75">
      <c r="A224" s="374" t="s">
        <v>548</v>
      </c>
      <c r="B224" s="375">
        <v>100000</v>
      </c>
      <c r="C224" s="191"/>
      <c r="D224" s="191"/>
      <c r="E224" s="191"/>
      <c r="F224" s="191"/>
      <c r="G224" s="191"/>
      <c r="H224" s="191"/>
      <c r="I224" s="191"/>
      <c r="J224" s="191"/>
      <c r="K224" s="191"/>
    </row>
    <row r="225" spans="1:11" ht="15.75">
      <c r="A225" s="374" t="s">
        <v>628</v>
      </c>
      <c r="B225" s="376">
        <v>0.05</v>
      </c>
      <c r="C225" s="191"/>
      <c r="D225" s="191"/>
      <c r="E225" s="191"/>
      <c r="F225" s="191"/>
      <c r="G225" s="191"/>
      <c r="H225" s="191"/>
      <c r="I225" s="191"/>
      <c r="J225" s="191"/>
      <c r="K225" s="191"/>
    </row>
    <row r="226" spans="1:11" ht="15.75">
      <c r="A226" s="374" t="s">
        <v>551</v>
      </c>
      <c r="B226" s="376">
        <v>0.5</v>
      </c>
      <c r="C226" s="191"/>
      <c r="D226" s="191"/>
      <c r="E226" s="191"/>
      <c r="F226" s="191"/>
      <c r="G226" s="191"/>
      <c r="H226" s="191"/>
      <c r="I226" s="191"/>
      <c r="J226" s="191"/>
      <c r="K226" s="191"/>
    </row>
    <row r="227" spans="1:11" ht="15.75">
      <c r="A227" s="374" t="s">
        <v>629</v>
      </c>
      <c r="B227" s="376">
        <v>0.02</v>
      </c>
      <c r="C227" s="191"/>
      <c r="D227" s="191"/>
      <c r="E227" s="191"/>
      <c r="F227" s="191"/>
      <c r="G227" s="191"/>
      <c r="H227" s="191"/>
      <c r="I227" s="191"/>
      <c r="J227" s="191"/>
      <c r="K227" s="191"/>
    </row>
    <row r="228" spans="1:11" ht="15.75">
      <c r="A228" s="374" t="s">
        <v>27</v>
      </c>
      <c r="B228" s="375">
        <v>15000</v>
      </c>
      <c r="C228" s="191"/>
      <c r="D228" s="191"/>
      <c r="E228" s="191"/>
      <c r="F228" s="191"/>
      <c r="G228" s="191"/>
      <c r="H228" s="191"/>
      <c r="I228" s="191"/>
      <c r="J228" s="191"/>
      <c r="K228" s="191"/>
    </row>
    <row r="229" spans="1:11" ht="15.75">
      <c r="A229" s="374" t="s">
        <v>630</v>
      </c>
      <c r="B229" s="375">
        <v>11000</v>
      </c>
      <c r="C229" s="191"/>
      <c r="D229" s="191"/>
      <c r="E229" s="191"/>
      <c r="F229" s="191"/>
      <c r="G229" s="191"/>
      <c r="H229" s="191"/>
      <c r="I229" s="191"/>
      <c r="J229" s="191"/>
      <c r="K229" s="191"/>
    </row>
    <row r="230" spans="1:11" ht="15.75">
      <c r="A230" s="374" t="s">
        <v>438</v>
      </c>
      <c r="B230" s="376">
        <v>0.25</v>
      </c>
      <c r="C230" s="191"/>
      <c r="D230" s="191"/>
      <c r="E230" s="191"/>
      <c r="F230" s="191"/>
      <c r="G230" s="191"/>
      <c r="H230" s="191"/>
      <c r="I230" s="191"/>
      <c r="J230" s="191"/>
      <c r="K230" s="191"/>
    </row>
    <row r="231" spans="1:11" ht="15.75">
      <c r="A231" s="374" t="s">
        <v>474</v>
      </c>
      <c r="B231" s="376">
        <v>0.1</v>
      </c>
      <c r="C231" s="191"/>
      <c r="D231" s="191"/>
      <c r="E231" s="191"/>
      <c r="F231" s="191"/>
      <c r="G231" s="191"/>
      <c r="H231" s="191"/>
      <c r="I231" s="191"/>
      <c r="J231" s="191"/>
      <c r="K231" s="191"/>
    </row>
    <row r="232" spans="1:11">
      <c r="A232" s="191"/>
      <c r="B232" s="191"/>
      <c r="C232" s="191"/>
      <c r="D232" s="191"/>
      <c r="E232" s="191"/>
      <c r="F232" s="191"/>
      <c r="G232" s="191"/>
      <c r="H232" s="191"/>
      <c r="I232" s="191"/>
      <c r="J232" s="191"/>
      <c r="K232" s="191"/>
    </row>
    <row r="233" spans="1:11" ht="21">
      <c r="A233" s="976" t="s">
        <v>631</v>
      </c>
      <c r="B233" s="977"/>
      <c r="C233" s="977"/>
      <c r="D233" s="977"/>
      <c r="E233" s="977"/>
      <c r="F233" s="977"/>
      <c r="G233" s="977"/>
      <c r="H233" s="977"/>
      <c r="I233" s="977"/>
      <c r="J233" s="977"/>
      <c r="K233" s="1042"/>
    </row>
    <row r="234" spans="1:11" ht="14.65" customHeight="1">
      <c r="A234" s="981" t="s">
        <v>632</v>
      </c>
      <c r="B234" s="981"/>
      <c r="C234" s="981"/>
      <c r="D234" s="981"/>
      <c r="E234" s="981"/>
      <c r="F234" s="981"/>
      <c r="G234" s="981"/>
      <c r="H234" s="981"/>
      <c r="I234" s="981"/>
      <c r="J234" s="981"/>
      <c r="K234" s="981"/>
    </row>
    <row r="235" spans="1:11">
      <c r="A235" s="981"/>
      <c r="B235" s="981"/>
      <c r="C235" s="981"/>
      <c r="D235" s="981"/>
      <c r="E235" s="981"/>
      <c r="F235" s="981"/>
      <c r="G235" s="981"/>
      <c r="H235" s="981"/>
      <c r="I235" s="981"/>
      <c r="J235" s="981"/>
      <c r="K235" s="981"/>
    </row>
    <row r="236" spans="1:11">
      <c r="A236" s="981"/>
      <c r="B236" s="981"/>
      <c r="C236" s="981"/>
      <c r="D236" s="981"/>
      <c r="E236" s="981"/>
      <c r="F236" s="981"/>
      <c r="G236" s="981"/>
      <c r="H236" s="981"/>
      <c r="I236" s="981"/>
      <c r="J236" s="981"/>
      <c r="K236" s="981"/>
    </row>
    <row r="238" spans="1:11" s="2" customFormat="1">
      <c r="A238" s="347">
        <v>16</v>
      </c>
      <c r="B238" s="347"/>
    </row>
    <row r="240" spans="1:11">
      <c r="A240" s="436" t="s">
        <v>510</v>
      </c>
      <c r="B240" s="437" t="s">
        <v>130</v>
      </c>
      <c r="C240" s="437" t="s">
        <v>131</v>
      </c>
      <c r="D240" s="437" t="s">
        <v>132</v>
      </c>
      <c r="E240" s="191"/>
      <c r="F240" s="191"/>
      <c r="G240" s="191"/>
      <c r="H240" s="191"/>
      <c r="I240" s="191"/>
      <c r="J240" s="191"/>
      <c r="K240" s="191"/>
    </row>
    <row r="241" spans="1:11">
      <c r="A241" s="436" t="s">
        <v>455</v>
      </c>
      <c r="B241" s="438">
        <v>0.3</v>
      </c>
      <c r="C241" s="438">
        <v>0.25</v>
      </c>
      <c r="D241" s="438">
        <v>0.2</v>
      </c>
      <c r="E241" s="191"/>
      <c r="F241" s="191"/>
      <c r="G241" s="191"/>
      <c r="H241" s="191"/>
      <c r="I241" s="191"/>
      <c r="J241" s="191"/>
      <c r="K241" s="191"/>
    </row>
    <row r="242" spans="1:11">
      <c r="A242" s="436" t="s">
        <v>383</v>
      </c>
      <c r="B242" s="439">
        <v>100000</v>
      </c>
      <c r="C242" s="439">
        <v>130000</v>
      </c>
      <c r="D242" s="439">
        <v>120000</v>
      </c>
      <c r="E242" s="191"/>
      <c r="F242" s="191"/>
      <c r="G242" s="191"/>
      <c r="H242" s="191"/>
      <c r="I242" s="191"/>
      <c r="J242" s="191"/>
      <c r="K242" s="191"/>
    </row>
    <row r="243" spans="1:11">
      <c r="A243" s="191"/>
      <c r="B243" s="191"/>
      <c r="C243" s="191"/>
      <c r="D243" s="191"/>
      <c r="E243" s="191"/>
      <c r="F243" s="191"/>
      <c r="G243" s="191"/>
      <c r="H243" s="191"/>
      <c r="I243" s="191"/>
      <c r="J243" s="191"/>
      <c r="K243" s="191"/>
    </row>
    <row r="244" spans="1:11" ht="21">
      <c r="A244" s="976" t="s">
        <v>511</v>
      </c>
      <c r="B244" s="977"/>
      <c r="C244" s="977"/>
      <c r="D244" s="977"/>
      <c r="E244" s="977"/>
      <c r="F244" s="977"/>
      <c r="G244" s="977"/>
      <c r="H244" s="977"/>
      <c r="I244" s="977"/>
      <c r="J244" s="977"/>
      <c r="K244" s="1042"/>
    </row>
    <row r="245" spans="1:11">
      <c r="A245" s="990" t="s">
        <v>512</v>
      </c>
      <c r="B245" s="981"/>
      <c r="C245" s="981"/>
      <c r="D245" s="981"/>
      <c r="E245" s="981"/>
      <c r="F245" s="981"/>
      <c r="G245" s="981"/>
      <c r="H245" s="981"/>
      <c r="I245" s="981"/>
      <c r="J245" s="981"/>
      <c r="K245" s="991"/>
    </row>
    <row r="246" spans="1:11">
      <c r="A246" s="990" t="s">
        <v>513</v>
      </c>
      <c r="B246" s="981"/>
      <c r="C246" s="981"/>
      <c r="D246" s="981"/>
      <c r="E246" s="981"/>
      <c r="F246" s="981"/>
      <c r="G246" s="981"/>
      <c r="H246" s="981"/>
      <c r="I246" s="981"/>
      <c r="J246" s="981"/>
      <c r="K246" s="991"/>
    </row>
    <row r="247" spans="1:11">
      <c r="A247" s="983" t="s">
        <v>514</v>
      </c>
      <c r="B247" s="984"/>
      <c r="C247" s="984"/>
      <c r="D247" s="984"/>
      <c r="E247" s="984"/>
      <c r="F247" s="984"/>
      <c r="G247" s="984"/>
      <c r="H247" s="984"/>
      <c r="I247" s="984"/>
      <c r="J247" s="984"/>
      <c r="K247" s="985"/>
    </row>
    <row r="249" spans="1:11" s="2" customFormat="1">
      <c r="A249" s="347">
        <v>17</v>
      </c>
      <c r="B249" s="347"/>
    </row>
    <row r="251" spans="1:11" ht="16.149999999999999" thickBot="1">
      <c r="A251" s="442" t="s">
        <v>557</v>
      </c>
      <c r="B251" s="443"/>
    </row>
    <row r="252" spans="1:11" ht="15.75">
      <c r="A252" s="455" t="s">
        <v>474</v>
      </c>
      <c r="B252" s="456">
        <v>0.1</v>
      </c>
    </row>
    <row r="253" spans="1:11" ht="15.75">
      <c r="A253" s="457" t="s">
        <v>547</v>
      </c>
      <c r="B253" s="458">
        <v>0.02</v>
      </c>
    </row>
    <row r="254" spans="1:11" ht="15.75">
      <c r="A254" s="457" t="s">
        <v>548</v>
      </c>
      <c r="B254" s="459">
        <v>250000</v>
      </c>
    </row>
    <row r="255" spans="1:11" ht="15.75">
      <c r="A255" s="457" t="s">
        <v>549</v>
      </c>
      <c r="B255" s="458">
        <v>7.0000000000000007E-2</v>
      </c>
    </row>
    <row r="256" spans="1:11" ht="15.75">
      <c r="A256" s="457" t="s">
        <v>550</v>
      </c>
      <c r="B256" s="458">
        <v>7.0000000000000007E-2</v>
      </c>
    </row>
    <row r="257" spans="1:11" ht="15.75">
      <c r="A257" s="457" t="s">
        <v>551</v>
      </c>
      <c r="B257" s="458">
        <v>0.65</v>
      </c>
    </row>
    <row r="258" spans="1:11" ht="15.75">
      <c r="A258" s="457" t="s">
        <v>552</v>
      </c>
      <c r="B258" s="459">
        <v>30000</v>
      </c>
    </row>
    <row r="259" spans="1:11" ht="31.5">
      <c r="A259" s="460" t="s">
        <v>553</v>
      </c>
      <c r="B259" s="459">
        <v>35000</v>
      </c>
    </row>
    <row r="260" spans="1:11" ht="15.75">
      <c r="A260" s="460" t="s">
        <v>554</v>
      </c>
      <c r="B260" s="459">
        <v>10000</v>
      </c>
    </row>
    <row r="261" spans="1:11" ht="15.75">
      <c r="A261" s="460" t="s">
        <v>555</v>
      </c>
      <c r="B261" s="459">
        <v>1000</v>
      </c>
    </row>
    <row r="262" spans="1:11" ht="15.75">
      <c r="A262" s="460" t="s">
        <v>66</v>
      </c>
      <c r="B262" s="458">
        <v>0.3</v>
      </c>
    </row>
    <row r="263" spans="1:11" ht="15.75">
      <c r="A263" s="461" t="s">
        <v>556</v>
      </c>
      <c r="B263" s="462">
        <v>20000</v>
      </c>
    </row>
    <row r="264" spans="1:11" ht="15.6" customHeight="1">
      <c r="A264" s="1179" t="s">
        <v>633</v>
      </c>
      <c r="B264" s="1179"/>
      <c r="C264" s="1179"/>
      <c r="D264" s="1179"/>
      <c r="E264" s="1179"/>
      <c r="F264" s="1179"/>
      <c r="G264" s="1179"/>
    </row>
    <row r="265" spans="1:11">
      <c r="A265" s="1180"/>
      <c r="B265" s="1180"/>
      <c r="C265" s="1180"/>
      <c r="D265" s="1180"/>
      <c r="E265" s="1180"/>
      <c r="F265" s="1180"/>
      <c r="G265" s="1180"/>
    </row>
    <row r="266" spans="1:11">
      <c r="A266" s="1180"/>
      <c r="B266" s="1180"/>
      <c r="C266" s="1180"/>
      <c r="D266" s="1180"/>
      <c r="E266" s="1180"/>
      <c r="F266" s="1180"/>
      <c r="G266" s="1180"/>
    </row>
    <row r="268" spans="1:11" s="2" customFormat="1">
      <c r="A268" s="347">
        <v>18</v>
      </c>
      <c r="B268" s="347"/>
    </row>
    <row r="269" spans="1:11" ht="14.65" thickBot="1"/>
    <row r="270" spans="1:11">
      <c r="A270" s="497" t="s">
        <v>595</v>
      </c>
      <c r="B270" s="498"/>
      <c r="C270" s="191"/>
      <c r="D270" s="191"/>
      <c r="E270" s="191"/>
      <c r="F270" s="191"/>
      <c r="G270" s="191"/>
      <c r="H270" s="191"/>
      <c r="I270" s="191"/>
      <c r="J270" s="191"/>
      <c r="K270" s="191"/>
    </row>
    <row r="271" spans="1:11">
      <c r="A271" s="499" t="s">
        <v>474</v>
      </c>
      <c r="B271" s="500">
        <v>0.12</v>
      </c>
      <c r="C271" s="191"/>
      <c r="D271" s="191"/>
      <c r="E271" s="191"/>
      <c r="F271" s="191"/>
      <c r="G271" s="191"/>
      <c r="H271" s="191"/>
      <c r="I271" s="191"/>
      <c r="J271" s="191"/>
      <c r="K271" s="191"/>
    </row>
    <row r="272" spans="1:11">
      <c r="A272" s="499" t="s">
        <v>547</v>
      </c>
      <c r="B272" s="500">
        <v>0.02</v>
      </c>
      <c r="C272" s="191"/>
      <c r="D272" s="191"/>
      <c r="E272" s="191"/>
      <c r="F272" s="191"/>
      <c r="G272" s="191"/>
      <c r="H272" s="191"/>
      <c r="I272" s="191"/>
      <c r="J272" s="191"/>
      <c r="K272" s="191"/>
    </row>
    <row r="273" spans="1:11">
      <c r="A273" s="499" t="s">
        <v>596</v>
      </c>
      <c r="B273" s="500">
        <v>0.3</v>
      </c>
      <c r="C273" s="191"/>
      <c r="D273" s="191"/>
      <c r="E273" s="191"/>
      <c r="F273" s="191"/>
      <c r="G273" s="191"/>
      <c r="H273" s="191"/>
      <c r="I273" s="191"/>
      <c r="J273" s="191"/>
      <c r="K273" s="191"/>
    </row>
    <row r="274" spans="1:11">
      <c r="A274" s="499" t="s">
        <v>548</v>
      </c>
      <c r="B274" s="501">
        <v>80000</v>
      </c>
      <c r="C274" s="191"/>
      <c r="D274" s="191"/>
      <c r="E274" s="191"/>
      <c r="F274" s="191"/>
      <c r="G274" s="191"/>
      <c r="H274" s="191"/>
      <c r="I274" s="191"/>
      <c r="J274" s="191"/>
      <c r="K274" s="191"/>
    </row>
    <row r="275" spans="1:11">
      <c r="A275" s="499" t="s">
        <v>597</v>
      </c>
      <c r="B275" s="502">
        <v>0.05</v>
      </c>
      <c r="C275" s="191"/>
      <c r="D275" s="191"/>
      <c r="E275" s="191"/>
      <c r="F275" s="191"/>
      <c r="G275" s="191"/>
      <c r="H275" s="191"/>
      <c r="I275" s="191"/>
      <c r="J275" s="191"/>
      <c r="K275" s="191"/>
    </row>
    <row r="276" spans="1:11">
      <c r="A276" s="499" t="s">
        <v>598</v>
      </c>
      <c r="B276" s="500">
        <v>0.45</v>
      </c>
      <c r="C276" s="191"/>
      <c r="D276" s="191"/>
      <c r="E276" s="191"/>
      <c r="F276" s="191"/>
      <c r="G276" s="191"/>
      <c r="H276" s="191"/>
      <c r="I276" s="191"/>
      <c r="J276" s="191"/>
      <c r="K276" s="191"/>
    </row>
    <row r="277" spans="1:11">
      <c r="A277" s="499" t="s">
        <v>599</v>
      </c>
      <c r="B277" s="501">
        <v>10000</v>
      </c>
      <c r="C277" s="191"/>
      <c r="D277" s="191"/>
      <c r="E277" s="191"/>
      <c r="F277" s="191"/>
      <c r="G277" s="191"/>
      <c r="H277" s="191"/>
      <c r="I277" s="191"/>
      <c r="J277" s="191"/>
      <c r="K277" s="191"/>
    </row>
    <row r="278" spans="1:11">
      <c r="A278" s="499" t="s">
        <v>600</v>
      </c>
      <c r="B278" s="501">
        <v>5000</v>
      </c>
      <c r="C278" s="191"/>
      <c r="D278" s="191"/>
      <c r="E278" s="191"/>
      <c r="F278" s="191"/>
      <c r="G278" s="191"/>
      <c r="H278" s="191"/>
      <c r="I278" s="191"/>
      <c r="J278" s="191"/>
      <c r="K278" s="191"/>
    </row>
    <row r="279" spans="1:11">
      <c r="A279" s="499" t="s">
        <v>601</v>
      </c>
      <c r="B279" s="501">
        <v>11000</v>
      </c>
      <c r="C279" s="191"/>
      <c r="D279" s="191"/>
      <c r="E279" s="191"/>
      <c r="F279" s="191"/>
      <c r="G279" s="191"/>
      <c r="H279" s="191"/>
      <c r="I279" s="191"/>
      <c r="J279" s="191"/>
      <c r="K279" s="191"/>
    </row>
    <row r="280" spans="1:11">
      <c r="A280" s="503" t="s">
        <v>602</v>
      </c>
      <c r="B280" s="504">
        <v>500</v>
      </c>
      <c r="C280" s="191"/>
      <c r="D280" s="191"/>
      <c r="E280" s="191"/>
      <c r="F280" s="191"/>
      <c r="G280" s="191"/>
      <c r="H280" s="191"/>
      <c r="I280" s="191"/>
      <c r="J280" s="191"/>
      <c r="K280" s="191"/>
    </row>
    <row r="281" spans="1:11">
      <c r="A281" s="499" t="s">
        <v>437</v>
      </c>
      <c r="B281" s="500">
        <v>0.15</v>
      </c>
      <c r="C281" s="191"/>
      <c r="D281" s="191"/>
      <c r="E281" s="191"/>
      <c r="F281" s="191"/>
      <c r="G281" s="191"/>
      <c r="H281" s="191"/>
      <c r="I281" s="191"/>
      <c r="J281" s="191"/>
      <c r="K281" s="191"/>
    </row>
    <row r="282" spans="1:11" ht="14.65" thickBot="1">
      <c r="A282" s="505" t="s">
        <v>603</v>
      </c>
      <c r="B282" s="506">
        <v>0.8</v>
      </c>
      <c r="C282" s="191"/>
      <c r="D282" s="191"/>
      <c r="E282" s="191"/>
      <c r="F282" s="191"/>
      <c r="G282" s="191"/>
      <c r="H282" s="191"/>
      <c r="I282" s="191"/>
      <c r="J282" s="191"/>
      <c r="K282" s="191"/>
    </row>
    <row r="283" spans="1:11">
      <c r="A283" s="191"/>
      <c r="B283" s="191"/>
      <c r="C283" s="191"/>
      <c r="D283" s="191"/>
      <c r="E283" s="191"/>
      <c r="F283" s="191"/>
      <c r="G283" s="191"/>
      <c r="H283" s="191"/>
      <c r="I283" s="191"/>
      <c r="J283" s="191"/>
      <c r="K283" s="191"/>
    </row>
    <row r="284" spans="1:11" ht="21">
      <c r="A284" s="1239" t="s">
        <v>634</v>
      </c>
      <c r="B284" s="1240"/>
      <c r="C284" s="1240"/>
      <c r="D284" s="1240"/>
      <c r="E284" s="1240"/>
      <c r="F284" s="1240"/>
      <c r="G284" s="1240"/>
      <c r="H284" s="1240"/>
      <c r="I284" s="1240"/>
      <c r="J284" s="1240"/>
      <c r="K284" s="1241"/>
    </row>
    <row r="285" spans="1:11" ht="21">
      <c r="A285" s="1242" t="s">
        <v>604</v>
      </c>
      <c r="B285" s="1243"/>
      <c r="C285" s="1243"/>
      <c r="D285" s="1243"/>
      <c r="E285" s="1243"/>
      <c r="F285" s="1243"/>
      <c r="G285" s="1243"/>
      <c r="H285" s="1243"/>
      <c r="I285" s="1243"/>
      <c r="J285" s="1243"/>
      <c r="K285" s="1244"/>
    </row>
    <row r="287" spans="1:11" s="2" customFormat="1">
      <c r="A287" s="347">
        <v>19</v>
      </c>
      <c r="B287" s="347"/>
    </row>
    <row r="288" spans="1:11" ht="14.65" thickBot="1"/>
    <row r="289" spans="1:12">
      <c r="A289" s="497" t="s">
        <v>650</v>
      </c>
      <c r="B289" s="498"/>
      <c r="C289" s="191"/>
      <c r="D289" s="191"/>
      <c r="E289" s="191"/>
      <c r="F289" s="191"/>
      <c r="G289" s="191"/>
      <c r="H289" s="191"/>
      <c r="I289" s="191"/>
      <c r="J289" s="191"/>
      <c r="K289" s="191"/>
      <c r="L289" s="191"/>
    </row>
    <row r="290" spans="1:12">
      <c r="A290" s="499" t="s">
        <v>474</v>
      </c>
      <c r="B290" s="500">
        <v>0.08</v>
      </c>
      <c r="C290" s="191"/>
      <c r="D290" s="191"/>
      <c r="E290" s="191"/>
      <c r="F290" s="191"/>
      <c r="G290" s="191"/>
      <c r="H290" s="191"/>
      <c r="I290" s="191"/>
      <c r="J290" s="191"/>
      <c r="K290" s="191"/>
      <c r="L290" s="191"/>
    </row>
    <row r="291" spans="1:12">
      <c r="A291" s="499" t="s">
        <v>547</v>
      </c>
      <c r="B291" s="500">
        <v>0.03</v>
      </c>
      <c r="C291" s="191"/>
      <c r="D291" s="191"/>
      <c r="E291" s="191"/>
      <c r="F291" s="191"/>
      <c r="G291" s="191"/>
      <c r="H291" s="191"/>
      <c r="I291" s="191"/>
      <c r="J291" s="191"/>
      <c r="K291" s="191"/>
      <c r="L291" s="191"/>
    </row>
    <row r="292" spans="1:12">
      <c r="A292" s="499" t="s">
        <v>343</v>
      </c>
      <c r="B292" s="500">
        <v>0.24</v>
      </c>
      <c r="C292" s="191"/>
      <c r="D292" s="191"/>
      <c r="E292" s="191"/>
      <c r="F292" s="191"/>
      <c r="G292" s="191"/>
      <c r="H292" s="191"/>
      <c r="I292" s="191"/>
      <c r="J292" s="191"/>
      <c r="K292" s="191"/>
      <c r="L292" s="191"/>
    </row>
    <row r="293" spans="1:12">
      <c r="A293" s="499" t="s">
        <v>548</v>
      </c>
      <c r="B293" s="501">
        <v>100000</v>
      </c>
      <c r="C293" s="191"/>
      <c r="D293" s="191"/>
      <c r="E293" s="191"/>
      <c r="F293" s="191"/>
      <c r="G293" s="191"/>
      <c r="H293" s="191"/>
      <c r="I293" s="191"/>
      <c r="J293" s="191"/>
      <c r="K293" s="191"/>
      <c r="L293" s="191"/>
    </row>
    <row r="294" spans="1:12">
      <c r="A294" s="499" t="s">
        <v>651</v>
      </c>
      <c r="B294" s="502">
        <v>0.06</v>
      </c>
      <c r="C294" s="191"/>
      <c r="D294" s="191"/>
      <c r="E294" s="191"/>
      <c r="F294" s="191"/>
      <c r="G294" s="191"/>
      <c r="H294" s="191"/>
      <c r="I294" s="191"/>
      <c r="J294" s="191"/>
      <c r="K294" s="191"/>
      <c r="L294" s="191"/>
    </row>
    <row r="295" spans="1:12">
      <c r="A295" s="499" t="s">
        <v>597</v>
      </c>
      <c r="B295" s="502">
        <v>0.1</v>
      </c>
      <c r="C295" s="191"/>
      <c r="D295" s="191"/>
      <c r="E295" s="191"/>
      <c r="F295" s="191"/>
      <c r="G295" s="191"/>
      <c r="H295" s="191"/>
      <c r="I295" s="191"/>
      <c r="J295" s="191"/>
      <c r="K295" s="191"/>
      <c r="L295" s="191"/>
    </row>
    <row r="296" spans="1:12">
      <c r="A296" s="499" t="s">
        <v>598</v>
      </c>
      <c r="B296" s="500">
        <v>0.55000000000000004</v>
      </c>
      <c r="C296" s="191"/>
      <c r="D296" s="191"/>
      <c r="E296" s="191"/>
      <c r="F296" s="191"/>
      <c r="G296" s="191"/>
      <c r="H296" s="191"/>
      <c r="I296" s="191"/>
      <c r="J296" s="191"/>
      <c r="K296" s="191"/>
      <c r="L296" s="191"/>
    </row>
    <row r="297" spans="1:12">
      <c r="A297" s="499" t="s">
        <v>46</v>
      </c>
      <c r="B297" s="609">
        <v>3</v>
      </c>
      <c r="C297" s="191"/>
      <c r="D297" s="191"/>
      <c r="E297" s="191"/>
      <c r="F297" s="191"/>
      <c r="G297" s="191"/>
      <c r="H297" s="191"/>
      <c r="I297" s="191"/>
      <c r="J297" s="191"/>
      <c r="K297" s="191"/>
      <c r="L297" s="191"/>
    </row>
    <row r="298" spans="1:12">
      <c r="A298" s="499" t="s">
        <v>599</v>
      </c>
      <c r="B298" s="501">
        <v>11000</v>
      </c>
      <c r="C298" s="191"/>
      <c r="D298" s="191"/>
      <c r="E298" s="191"/>
      <c r="F298" s="191"/>
      <c r="G298" s="191"/>
      <c r="H298" s="191"/>
      <c r="I298" s="191"/>
      <c r="J298" s="191"/>
      <c r="K298" s="191"/>
      <c r="L298" s="191"/>
    </row>
    <row r="299" spans="1:12">
      <c r="A299" s="499" t="s">
        <v>600</v>
      </c>
      <c r="B299" s="501">
        <v>6000</v>
      </c>
      <c r="C299" s="191"/>
      <c r="D299" s="191"/>
      <c r="E299" s="191"/>
      <c r="F299" s="191"/>
      <c r="G299" s="191"/>
      <c r="H299" s="191"/>
      <c r="I299" s="191"/>
      <c r="J299" s="191"/>
      <c r="K299" s="191"/>
      <c r="L299" s="191"/>
    </row>
    <row r="300" spans="1:12">
      <c r="A300" s="499" t="s">
        <v>601</v>
      </c>
      <c r="B300" s="501">
        <v>12000</v>
      </c>
      <c r="C300" s="191"/>
      <c r="D300" s="191"/>
      <c r="E300" s="191"/>
      <c r="F300" s="191"/>
      <c r="G300" s="191"/>
      <c r="H300" s="191"/>
      <c r="I300" s="191"/>
      <c r="J300" s="191"/>
      <c r="K300" s="191"/>
      <c r="L300" s="191"/>
    </row>
    <row r="301" spans="1:12">
      <c r="A301" s="503" t="s">
        <v>602</v>
      </c>
      <c r="B301" s="504">
        <v>600</v>
      </c>
      <c r="C301" s="191"/>
      <c r="D301" s="191"/>
      <c r="E301" s="191"/>
      <c r="F301" s="191"/>
      <c r="G301" s="191"/>
      <c r="H301" s="191"/>
      <c r="I301" s="191"/>
      <c r="J301" s="191"/>
      <c r="K301" s="191"/>
      <c r="L301" s="191"/>
    </row>
    <row r="302" spans="1:12">
      <c r="A302" s="499" t="s">
        <v>437</v>
      </c>
      <c r="B302" s="500">
        <v>0.13</v>
      </c>
      <c r="C302" s="191"/>
      <c r="D302" s="191"/>
      <c r="E302" s="191"/>
      <c r="F302" s="191"/>
      <c r="G302" s="191"/>
      <c r="H302" s="191"/>
      <c r="I302" s="191"/>
      <c r="J302" s="191"/>
      <c r="K302" s="191"/>
      <c r="L302" s="191"/>
    </row>
    <row r="303" spans="1:12" ht="14.65" thickBot="1">
      <c r="A303" s="505" t="s">
        <v>603</v>
      </c>
      <c r="B303" s="506">
        <v>0.8</v>
      </c>
      <c r="C303" s="191"/>
      <c r="D303" s="191"/>
      <c r="E303" s="191"/>
      <c r="F303" s="191"/>
      <c r="G303" s="191"/>
      <c r="H303" s="191"/>
      <c r="I303" s="191"/>
      <c r="J303" s="191"/>
      <c r="K303" s="191"/>
      <c r="L303" s="191"/>
    </row>
    <row r="304" spans="1:12" ht="21">
      <c r="A304" s="1239" t="str">
        <f>"Question 4 - Points "&amp;SUM(L305:L306)</f>
        <v>Question 4 - Points 10</v>
      </c>
      <c r="B304" s="1240"/>
      <c r="C304" s="1240"/>
      <c r="D304" s="1240"/>
      <c r="E304" s="1240"/>
      <c r="F304" s="1240"/>
      <c r="G304" s="1240"/>
      <c r="H304" s="1240"/>
      <c r="I304" s="1240"/>
      <c r="J304" s="1240"/>
      <c r="K304" s="1241"/>
      <c r="L304" s="549" t="s">
        <v>635</v>
      </c>
    </row>
    <row r="305" spans="1:21" ht="30.75" customHeight="1">
      <c r="A305" s="1246" t="s">
        <v>653</v>
      </c>
      <c r="B305" s="1247"/>
      <c r="C305" s="1247"/>
      <c r="D305" s="1247"/>
      <c r="E305" s="1247"/>
      <c r="F305" s="1247"/>
      <c r="G305" s="1247"/>
      <c r="H305" s="1247"/>
      <c r="I305" s="1247"/>
      <c r="J305" s="1247"/>
      <c r="K305" s="1248"/>
      <c r="L305" s="610">
        <v>8</v>
      </c>
    </row>
    <row r="306" spans="1:21" ht="21">
      <c r="A306" s="1246" t="s">
        <v>652</v>
      </c>
      <c r="B306" s="1247"/>
      <c r="C306" s="1247"/>
      <c r="D306" s="1247"/>
      <c r="E306" s="1247"/>
      <c r="F306" s="1247"/>
      <c r="G306" s="1247"/>
      <c r="H306" s="1247"/>
      <c r="I306" s="1247"/>
      <c r="J306" s="1247"/>
      <c r="K306" s="1248"/>
      <c r="L306" s="610">
        <v>2</v>
      </c>
    </row>
    <row r="308" spans="1:21" s="2" customFormat="1">
      <c r="A308" s="347">
        <v>20</v>
      </c>
      <c r="B308" s="347"/>
    </row>
    <row r="309" spans="1:21" ht="14.65" thickBot="1"/>
    <row r="310" spans="1:21" ht="18.399999999999999" thickBot="1">
      <c r="A310" s="686" t="s">
        <v>707</v>
      </c>
      <c r="B310" s="685"/>
      <c r="C310" s="685"/>
      <c r="D310" s="685"/>
      <c r="E310" s="685"/>
      <c r="F310" s="685"/>
      <c r="G310" s="685"/>
      <c r="H310" s="685"/>
      <c r="I310" s="685"/>
      <c r="J310" s="685"/>
      <c r="K310" s="685"/>
      <c r="L310" s="685"/>
      <c r="M310" s="685"/>
      <c r="N310" s="685"/>
      <c r="O310" s="685"/>
      <c r="P310" s="685"/>
      <c r="Q310" s="685"/>
      <c r="R310" s="685"/>
      <c r="S310" s="685"/>
      <c r="T310" s="685"/>
      <c r="U310" s="687"/>
    </row>
    <row r="311" spans="1:21" ht="18">
      <c r="A311" s="684"/>
      <c r="B311" s="684"/>
      <c r="C311" s="684"/>
      <c r="D311" s="684"/>
      <c r="E311" s="684"/>
      <c r="F311" s="684"/>
      <c r="G311" s="684"/>
      <c r="H311" s="684"/>
      <c r="I311" s="684"/>
      <c r="J311" s="684"/>
      <c r="K311" s="684"/>
      <c r="L311" s="684"/>
      <c r="M311" s="684"/>
      <c r="N311" s="684"/>
      <c r="O311" s="684"/>
      <c r="P311" s="684"/>
      <c r="Q311" s="684"/>
      <c r="R311" s="684"/>
      <c r="S311" s="684"/>
      <c r="T311" s="684"/>
      <c r="U311" s="687"/>
    </row>
    <row r="312" spans="1:21" ht="18">
      <c r="A312" s="684" t="s">
        <v>708</v>
      </c>
      <c r="B312" s="684"/>
      <c r="C312" s="684"/>
      <c r="D312" s="684"/>
      <c r="E312" s="684"/>
      <c r="F312" s="684"/>
      <c r="G312" s="684"/>
      <c r="H312" s="684"/>
      <c r="I312" s="684"/>
      <c r="J312" s="684"/>
      <c r="K312" s="684"/>
      <c r="L312" s="684"/>
      <c r="M312" s="684"/>
      <c r="N312" s="684"/>
      <c r="O312" s="684"/>
      <c r="P312" s="684"/>
      <c r="Q312" s="684"/>
      <c r="R312" s="684"/>
      <c r="S312" s="684"/>
      <c r="T312" s="684"/>
      <c r="U312" s="687"/>
    </row>
    <row r="313" spans="1:21" ht="18">
      <c r="A313" s="684" t="s">
        <v>709</v>
      </c>
      <c r="B313" s="684"/>
      <c r="C313" s="684"/>
      <c r="D313" s="684"/>
      <c r="E313" s="684"/>
      <c r="F313" s="684"/>
      <c r="G313" s="684"/>
      <c r="H313" s="684"/>
      <c r="I313" s="684"/>
      <c r="J313" s="684"/>
      <c r="K313" s="684"/>
      <c r="L313" s="684"/>
      <c r="M313" s="684"/>
      <c r="N313" s="684"/>
      <c r="O313" s="684"/>
      <c r="P313" s="684"/>
      <c r="Q313" s="684"/>
      <c r="R313" s="684"/>
      <c r="S313" s="684"/>
      <c r="T313" s="684"/>
      <c r="U313" s="687"/>
    </row>
    <row r="314" spans="1:21" ht="18">
      <c r="A314" s="684"/>
      <c r="B314" s="684"/>
      <c r="C314" s="684"/>
      <c r="D314" s="684"/>
      <c r="E314" s="684"/>
      <c r="F314" s="684"/>
      <c r="G314" s="684"/>
      <c r="H314" s="684"/>
      <c r="I314" s="684"/>
      <c r="J314" s="684"/>
      <c r="K314" s="684"/>
      <c r="L314" s="684"/>
      <c r="M314" s="684"/>
      <c r="N314" s="684"/>
      <c r="O314" s="684"/>
      <c r="P314" s="684"/>
      <c r="Q314" s="684"/>
      <c r="R314" s="684"/>
      <c r="S314" s="684"/>
      <c r="T314" s="684"/>
      <c r="U314" s="687"/>
    </row>
    <row r="315" spans="1:21" ht="18">
      <c r="A315" s="684" t="s">
        <v>710</v>
      </c>
      <c r="B315" s="684"/>
      <c r="C315" s="684"/>
      <c r="D315" s="684"/>
      <c r="E315" s="684"/>
      <c r="F315" s="684"/>
      <c r="G315" s="684"/>
      <c r="H315" s="684"/>
      <c r="I315" s="684"/>
      <c r="J315" s="684"/>
      <c r="K315" s="684"/>
      <c r="L315" s="684"/>
      <c r="M315" s="684"/>
      <c r="N315" s="684"/>
      <c r="O315" s="684"/>
      <c r="P315" s="684"/>
      <c r="Q315" s="684"/>
      <c r="R315" s="684"/>
      <c r="S315" s="684"/>
      <c r="T315" s="684"/>
      <c r="U315" s="687"/>
    </row>
    <row r="316" spans="1:21" ht="18">
      <c r="A316" s="684" t="s">
        <v>711</v>
      </c>
      <c r="B316" s="684"/>
      <c r="C316" s="684"/>
      <c r="D316" s="684"/>
      <c r="E316" s="684"/>
      <c r="F316" s="684"/>
      <c r="G316" s="684"/>
      <c r="H316" s="684"/>
      <c r="I316" s="684"/>
      <c r="J316" s="684"/>
      <c r="K316" s="684"/>
      <c r="L316" s="684"/>
      <c r="M316" s="684"/>
      <c r="N316" s="684"/>
      <c r="O316" s="684"/>
      <c r="P316" s="684"/>
      <c r="Q316" s="684"/>
      <c r="R316" s="684"/>
      <c r="S316" s="684"/>
      <c r="T316" s="684"/>
      <c r="U316" s="687"/>
    </row>
    <row r="317" spans="1:21" ht="18">
      <c r="A317" s="684" t="s">
        <v>712</v>
      </c>
      <c r="B317" s="684"/>
      <c r="C317" s="684"/>
      <c r="D317" s="684"/>
      <c r="E317" s="684"/>
      <c r="F317" s="684"/>
      <c r="G317" s="684"/>
      <c r="H317" s="684"/>
      <c r="I317" s="684"/>
      <c r="J317" s="684"/>
      <c r="K317" s="684"/>
      <c r="L317" s="684"/>
      <c r="M317" s="684"/>
      <c r="N317" s="684"/>
      <c r="O317" s="684"/>
      <c r="P317" s="684"/>
      <c r="Q317" s="684"/>
      <c r="R317" s="684"/>
      <c r="S317" s="684"/>
      <c r="T317" s="684"/>
      <c r="U317" s="687"/>
    </row>
    <row r="318" spans="1:21" ht="18">
      <c r="A318" s="684"/>
      <c r="B318" s="684"/>
      <c r="C318" s="684"/>
      <c r="D318" s="684"/>
      <c r="E318" s="684"/>
      <c r="F318" s="684"/>
      <c r="G318" s="684"/>
      <c r="H318" s="684"/>
      <c r="I318" s="684"/>
      <c r="J318" s="684"/>
      <c r="K318" s="684"/>
      <c r="L318" s="684"/>
      <c r="M318" s="684"/>
      <c r="N318" s="684"/>
      <c r="O318" s="684"/>
      <c r="P318" s="684"/>
      <c r="Q318" s="684"/>
      <c r="R318" s="684"/>
      <c r="S318" s="684"/>
      <c r="T318" s="684"/>
      <c r="U318" s="687"/>
    </row>
    <row r="319" spans="1:21" ht="18">
      <c r="A319" s="684" t="s">
        <v>713</v>
      </c>
      <c r="B319" s="684"/>
      <c r="C319" s="684"/>
      <c r="D319" s="684"/>
      <c r="E319" s="684"/>
      <c r="F319" s="684"/>
      <c r="G319" s="684"/>
      <c r="H319" s="684"/>
      <c r="I319" s="684"/>
      <c r="J319" s="684"/>
      <c r="K319" s="684"/>
      <c r="L319" s="684"/>
      <c r="M319" s="684"/>
      <c r="N319" s="684"/>
      <c r="O319" s="684"/>
      <c r="P319" s="684"/>
      <c r="Q319" s="684"/>
      <c r="R319" s="684"/>
      <c r="S319" s="684"/>
      <c r="T319" s="684"/>
      <c r="U319" s="687"/>
    </row>
    <row r="320" spans="1:21" ht="18">
      <c r="A320" s="684" t="s">
        <v>714</v>
      </c>
      <c r="B320" s="684"/>
      <c r="C320" s="684"/>
      <c r="D320" s="684"/>
      <c r="E320" s="684"/>
      <c r="F320" s="684"/>
      <c r="G320" s="684"/>
      <c r="H320" s="684"/>
      <c r="I320" s="684"/>
      <c r="J320" s="684"/>
      <c r="K320" s="684"/>
      <c r="L320" s="684"/>
      <c r="M320" s="684"/>
      <c r="N320" s="684"/>
      <c r="O320" s="684"/>
      <c r="P320" s="684"/>
      <c r="Q320" s="684"/>
      <c r="R320" s="684"/>
      <c r="S320" s="684"/>
      <c r="T320" s="684"/>
      <c r="U320" s="687"/>
    </row>
    <row r="321" spans="1:21" ht="18">
      <c r="A321" s="684"/>
      <c r="B321" s="684"/>
      <c r="C321" s="684"/>
      <c r="D321" s="684"/>
      <c r="E321" s="684"/>
      <c r="F321" s="684"/>
      <c r="G321" s="684"/>
      <c r="H321" s="684"/>
      <c r="I321" s="684"/>
      <c r="J321" s="684"/>
      <c r="K321" s="684"/>
      <c r="L321" s="684"/>
      <c r="M321" s="684"/>
      <c r="N321" s="684"/>
      <c r="O321" s="684"/>
      <c r="P321" s="684"/>
      <c r="Q321" s="684"/>
      <c r="R321" s="684"/>
      <c r="S321" s="684"/>
      <c r="T321" s="684"/>
      <c r="U321" s="687"/>
    </row>
    <row r="322" spans="1:21" ht="18">
      <c r="A322" s="684" t="s">
        <v>715</v>
      </c>
      <c r="B322" s="684"/>
      <c r="C322" s="684"/>
      <c r="D322" s="684"/>
      <c r="E322" s="684"/>
      <c r="F322" s="684"/>
      <c r="G322" s="684"/>
      <c r="H322" s="684"/>
      <c r="I322" s="684"/>
      <c r="J322" s="684"/>
      <c r="K322" s="684"/>
      <c r="L322" s="684"/>
      <c r="M322" s="684"/>
      <c r="N322" s="684"/>
      <c r="O322" s="684"/>
      <c r="P322" s="684"/>
      <c r="Q322" s="684"/>
      <c r="R322" s="684"/>
      <c r="S322" s="684"/>
      <c r="T322" s="684"/>
      <c r="U322" s="687"/>
    </row>
    <row r="323" spans="1:21" ht="18">
      <c r="A323" s="684"/>
      <c r="B323" s="684"/>
      <c r="C323" s="684"/>
      <c r="D323" s="684"/>
      <c r="E323" s="684"/>
      <c r="F323" s="684"/>
      <c r="G323" s="684"/>
      <c r="H323" s="684"/>
      <c r="I323" s="684"/>
      <c r="J323" s="684"/>
      <c r="K323" s="684"/>
      <c r="L323" s="684"/>
      <c r="M323" s="684"/>
      <c r="N323" s="684"/>
      <c r="O323" s="684"/>
      <c r="P323" s="684"/>
      <c r="Q323" s="684"/>
      <c r="R323" s="684"/>
      <c r="S323" s="684"/>
      <c r="T323" s="684"/>
      <c r="U323" s="687"/>
    </row>
    <row r="324" spans="1:21" ht="18">
      <c r="A324" s="684" t="s">
        <v>716</v>
      </c>
      <c r="B324" s="684"/>
      <c r="C324" s="684"/>
      <c r="D324" s="684"/>
      <c r="E324" s="684"/>
      <c r="F324" s="684"/>
      <c r="G324" s="684"/>
      <c r="H324" s="684"/>
      <c r="I324" s="684"/>
      <c r="J324" s="684"/>
      <c r="K324" s="684"/>
      <c r="L324" s="684"/>
      <c r="M324" s="684"/>
      <c r="N324" s="684"/>
      <c r="O324" s="684"/>
      <c r="P324" s="684"/>
      <c r="Q324" s="684"/>
      <c r="R324" s="684"/>
      <c r="S324" s="684"/>
      <c r="T324" s="684"/>
      <c r="U324" s="687"/>
    </row>
    <row r="325" spans="1:21" ht="18">
      <c r="A325" s="684" t="s">
        <v>717</v>
      </c>
      <c r="B325" s="684"/>
      <c r="C325" s="684"/>
      <c r="D325" s="684"/>
      <c r="E325" s="684"/>
      <c r="F325" s="684"/>
      <c r="G325" s="684"/>
      <c r="H325" s="684"/>
      <c r="I325" s="684"/>
      <c r="J325" s="684"/>
      <c r="K325" s="684"/>
      <c r="L325" s="684"/>
      <c r="M325" s="684"/>
      <c r="N325" s="684"/>
      <c r="O325" s="684"/>
      <c r="P325" s="684"/>
      <c r="Q325" s="684"/>
      <c r="R325" s="684"/>
      <c r="S325" s="684"/>
      <c r="T325" s="684"/>
      <c r="U325" s="687"/>
    </row>
    <row r="326" spans="1:21" ht="18">
      <c r="A326" s="684"/>
      <c r="B326" s="684"/>
      <c r="C326" s="684"/>
      <c r="D326" s="684"/>
      <c r="E326" s="684"/>
      <c r="F326" s="684"/>
      <c r="G326" s="684"/>
      <c r="H326" s="684"/>
      <c r="I326" s="684"/>
      <c r="J326" s="684"/>
      <c r="K326" s="684"/>
      <c r="L326" s="684"/>
      <c r="M326" s="684"/>
      <c r="N326" s="684"/>
      <c r="O326" s="684"/>
      <c r="P326" s="684"/>
      <c r="Q326" s="684"/>
      <c r="R326" s="684"/>
      <c r="S326" s="684"/>
      <c r="T326" s="684"/>
      <c r="U326" s="687"/>
    </row>
    <row r="327" spans="1:21" ht="21">
      <c r="A327" s="683" t="s">
        <v>718</v>
      </c>
      <c r="B327" s="684" t="s">
        <v>719</v>
      </c>
      <c r="C327" s="684"/>
      <c r="D327" s="684"/>
      <c r="E327" s="684"/>
      <c r="F327" s="684"/>
      <c r="G327" s="684"/>
      <c r="H327" s="684"/>
      <c r="I327" s="684"/>
      <c r="J327" s="684"/>
      <c r="K327" s="684"/>
      <c r="L327" s="684"/>
      <c r="M327" s="684"/>
      <c r="N327" s="684"/>
      <c r="O327" s="684"/>
      <c r="P327" s="684"/>
      <c r="Q327" s="684"/>
      <c r="R327" s="684"/>
      <c r="S327" s="684"/>
      <c r="T327" s="684"/>
      <c r="U327" s="687">
        <v>4</v>
      </c>
    </row>
    <row r="328" spans="1:21" ht="18">
      <c r="A328" s="684"/>
      <c r="B328" s="684"/>
      <c r="C328" s="684"/>
      <c r="D328" s="684"/>
      <c r="E328" s="684"/>
      <c r="F328" s="684"/>
      <c r="G328" s="684"/>
      <c r="H328" s="684"/>
      <c r="I328" s="684"/>
      <c r="J328" s="684"/>
      <c r="K328" s="684"/>
      <c r="L328" s="684"/>
      <c r="M328" s="684"/>
      <c r="N328" s="684"/>
      <c r="O328" s="684"/>
      <c r="P328" s="684"/>
      <c r="Q328" s="684"/>
      <c r="R328" s="684"/>
      <c r="S328" s="684"/>
      <c r="T328" s="684"/>
      <c r="U328" s="687"/>
    </row>
    <row r="329" spans="1:21" ht="18">
      <c r="A329" s="684" t="s">
        <v>720</v>
      </c>
      <c r="B329" s="684"/>
      <c r="C329" s="684"/>
      <c r="D329" s="684"/>
      <c r="E329" s="684"/>
      <c r="F329" s="684"/>
      <c r="G329" s="684"/>
      <c r="H329" s="684"/>
      <c r="I329" s="684"/>
      <c r="J329" s="684"/>
      <c r="K329" s="684"/>
      <c r="L329" s="684"/>
      <c r="M329" s="684"/>
      <c r="N329" s="684"/>
      <c r="O329" s="684"/>
      <c r="P329" s="684"/>
      <c r="Q329" s="684"/>
      <c r="R329" s="684"/>
      <c r="S329" s="684"/>
      <c r="T329" s="684"/>
      <c r="U329" s="687"/>
    </row>
    <row r="330" spans="1:21" ht="18">
      <c r="A330" s="684"/>
      <c r="B330" s="684"/>
      <c r="C330" s="684"/>
      <c r="D330" s="684"/>
      <c r="E330" s="684"/>
      <c r="F330" s="684"/>
      <c r="G330" s="684"/>
      <c r="H330" s="684"/>
      <c r="I330" s="684"/>
      <c r="J330" s="684"/>
      <c r="K330" s="684"/>
      <c r="L330" s="684"/>
      <c r="M330" s="684"/>
      <c r="N330" s="684"/>
      <c r="O330" s="684"/>
      <c r="P330" s="684"/>
      <c r="Q330" s="684"/>
      <c r="R330" s="684"/>
      <c r="S330" s="684"/>
      <c r="T330" s="684"/>
      <c r="U330" s="687"/>
    </row>
    <row r="331" spans="1:21" ht="21">
      <c r="A331" s="683" t="s">
        <v>721</v>
      </c>
      <c r="B331" s="684" t="s">
        <v>722</v>
      </c>
      <c r="C331" s="684"/>
      <c r="D331" s="684"/>
      <c r="E331" s="684"/>
      <c r="F331" s="684"/>
      <c r="G331" s="684"/>
      <c r="H331" s="684"/>
      <c r="I331" s="684"/>
      <c r="J331" s="684"/>
      <c r="K331" s="684"/>
      <c r="L331" s="684"/>
      <c r="M331" s="684"/>
      <c r="N331" s="684"/>
      <c r="O331" s="684"/>
      <c r="P331" s="684"/>
      <c r="Q331" s="684"/>
      <c r="R331" s="684"/>
      <c r="S331" s="684"/>
      <c r="T331" s="684"/>
      <c r="U331" s="687">
        <v>12</v>
      </c>
    </row>
    <row r="332" spans="1:21" ht="18">
      <c r="A332" s="684"/>
      <c r="B332" s="684"/>
      <c r="C332" s="684"/>
      <c r="D332" s="684"/>
      <c r="E332" s="684"/>
      <c r="F332" s="684"/>
      <c r="G332" s="684"/>
      <c r="H332" s="684"/>
      <c r="I332" s="684"/>
      <c r="J332" s="684"/>
      <c r="K332" s="684"/>
      <c r="L332" s="684"/>
      <c r="M332" s="684"/>
      <c r="N332" s="684"/>
      <c r="O332" s="684"/>
      <c r="P332" s="684"/>
      <c r="Q332" s="684"/>
      <c r="R332" s="684"/>
      <c r="S332" s="684"/>
      <c r="T332" s="684"/>
      <c r="U332" s="687"/>
    </row>
    <row r="333" spans="1:21" ht="18">
      <c r="A333" s="684"/>
      <c r="B333" s="684"/>
      <c r="C333" s="684"/>
      <c r="D333" s="684"/>
      <c r="E333" s="684"/>
      <c r="F333" s="684"/>
      <c r="G333" s="684"/>
      <c r="H333" s="684"/>
      <c r="I333" s="684"/>
      <c r="J333" s="684"/>
      <c r="K333" s="684"/>
      <c r="L333" s="684"/>
      <c r="M333" s="684"/>
      <c r="N333" s="684"/>
      <c r="O333" s="684"/>
      <c r="P333" s="684"/>
      <c r="Q333" s="684"/>
      <c r="R333" s="684"/>
      <c r="S333" s="684"/>
      <c r="T333" s="684"/>
      <c r="U333" s="687"/>
    </row>
    <row r="334" spans="1:21" ht="18">
      <c r="A334" s="684"/>
      <c r="B334" s="684"/>
      <c r="C334" s="684"/>
      <c r="D334" s="684"/>
      <c r="E334" s="684"/>
      <c r="F334" s="684"/>
      <c r="G334" s="684"/>
      <c r="H334" s="684"/>
      <c r="I334" s="684"/>
      <c r="J334" s="684"/>
      <c r="K334" s="684"/>
      <c r="L334" s="684"/>
      <c r="M334" s="684"/>
      <c r="N334" s="684"/>
      <c r="O334" s="684"/>
      <c r="P334" s="684"/>
      <c r="Q334" s="684"/>
      <c r="R334" s="684"/>
      <c r="S334" s="684"/>
      <c r="T334" s="684"/>
      <c r="U334" s="687"/>
    </row>
    <row r="335" spans="1:21" ht="18">
      <c r="A335" s="684" t="s">
        <v>723</v>
      </c>
      <c r="B335" s="684"/>
      <c r="C335" s="684"/>
      <c r="D335" s="684"/>
      <c r="E335" s="684"/>
      <c r="F335" s="684"/>
      <c r="G335" s="684"/>
      <c r="H335" s="684"/>
      <c r="I335" s="684"/>
      <c r="J335" s="684"/>
      <c r="K335" s="684"/>
      <c r="L335" s="684"/>
      <c r="M335" s="684"/>
      <c r="N335" s="684"/>
      <c r="O335" s="684"/>
      <c r="P335" s="684"/>
      <c r="Q335" s="684"/>
      <c r="R335" s="684"/>
      <c r="S335" s="684"/>
      <c r="T335" s="684"/>
      <c r="U335" s="687"/>
    </row>
    <row r="336" spans="1:21" ht="18">
      <c r="A336" s="684" t="s">
        <v>724</v>
      </c>
      <c r="B336" s="684"/>
      <c r="C336" s="684"/>
      <c r="D336" s="684"/>
      <c r="E336" s="684"/>
      <c r="F336" s="684"/>
      <c r="G336" s="684"/>
      <c r="H336" s="684"/>
      <c r="I336" s="684"/>
      <c r="J336" s="684"/>
      <c r="K336" s="684"/>
      <c r="L336" s="684"/>
      <c r="M336" s="684"/>
      <c r="N336" s="684"/>
      <c r="O336" s="684"/>
      <c r="P336" s="684"/>
      <c r="Q336" s="684"/>
      <c r="R336" s="684"/>
      <c r="S336" s="684"/>
      <c r="T336" s="684"/>
      <c r="U336" s="687"/>
    </row>
    <row r="337" spans="1:21" ht="18">
      <c r="A337" s="684"/>
      <c r="B337" s="684"/>
      <c r="C337" s="684"/>
      <c r="D337" s="684"/>
      <c r="E337" s="684"/>
      <c r="F337" s="684"/>
      <c r="G337" s="684"/>
      <c r="H337" s="684"/>
      <c r="I337" s="684"/>
      <c r="J337" s="684"/>
      <c r="K337" s="684"/>
      <c r="L337" s="684"/>
      <c r="M337" s="684"/>
      <c r="N337" s="684"/>
      <c r="O337" s="684"/>
      <c r="P337" s="684"/>
      <c r="Q337" s="684"/>
      <c r="R337" s="684"/>
      <c r="S337" s="684"/>
      <c r="T337" s="684"/>
      <c r="U337" s="687"/>
    </row>
    <row r="338" spans="1:21" ht="21">
      <c r="A338" s="683" t="s">
        <v>725</v>
      </c>
      <c r="B338" s="684" t="s">
        <v>726</v>
      </c>
      <c r="C338" s="684"/>
      <c r="D338" s="684"/>
      <c r="E338" s="684"/>
      <c r="F338" s="684"/>
      <c r="G338" s="684"/>
      <c r="H338" s="684"/>
      <c r="I338" s="684"/>
      <c r="J338" s="684"/>
      <c r="K338" s="684"/>
      <c r="L338" s="684"/>
      <c r="M338" s="684"/>
      <c r="N338" s="684"/>
      <c r="O338" s="684"/>
      <c r="P338" s="684"/>
      <c r="Q338" s="684"/>
      <c r="R338" s="684"/>
      <c r="S338" s="684"/>
      <c r="T338" s="684"/>
      <c r="U338" s="687">
        <v>4</v>
      </c>
    </row>
    <row r="340" spans="1:21" s="2" customFormat="1">
      <c r="A340" s="347">
        <v>21</v>
      </c>
      <c r="B340" s="347"/>
    </row>
    <row r="341" spans="1:21" ht="14.65" thickBot="1"/>
    <row r="342" spans="1:21" ht="18.399999999999999" thickBot="1">
      <c r="A342" s="681" t="s">
        <v>767</v>
      </c>
      <c r="B342" s="688"/>
      <c r="C342" s="688"/>
      <c r="D342" s="688"/>
      <c r="E342" s="688"/>
      <c r="F342" s="688"/>
      <c r="G342" s="688"/>
      <c r="H342" s="688"/>
      <c r="I342" s="688"/>
      <c r="J342" s="688"/>
      <c r="K342" s="688"/>
      <c r="L342" s="688"/>
      <c r="M342" s="688"/>
      <c r="N342" s="688"/>
      <c r="O342" s="688"/>
      <c r="P342" s="688"/>
      <c r="Q342" s="688"/>
      <c r="R342" s="688"/>
      <c r="S342" s="688"/>
      <c r="T342" s="688"/>
      <c r="U342" s="679"/>
    </row>
    <row r="343" spans="1:21" ht="18">
      <c r="A343" s="554"/>
      <c r="B343" s="554"/>
      <c r="C343" s="554"/>
      <c r="D343" s="554"/>
      <c r="E343" s="554"/>
      <c r="F343" s="554"/>
      <c r="G343" s="554"/>
      <c r="H343" s="554"/>
      <c r="I343" s="554"/>
      <c r="J343" s="554"/>
      <c r="K343" s="554"/>
      <c r="L343" s="554"/>
      <c r="M343" s="554"/>
      <c r="N343" s="554"/>
      <c r="O343" s="554"/>
      <c r="P343" s="554"/>
      <c r="Q343" s="554"/>
      <c r="R343" s="554"/>
      <c r="S343" s="554"/>
      <c r="T343" s="554"/>
      <c r="U343" s="679"/>
    </row>
    <row r="344" spans="1:21" ht="18">
      <c r="A344" s="554" t="s">
        <v>768</v>
      </c>
      <c r="B344" s="554"/>
      <c r="C344" s="554"/>
      <c r="D344" s="554"/>
      <c r="E344" s="554"/>
      <c r="F344" s="554"/>
      <c r="G344" s="554"/>
      <c r="H344" s="554"/>
      <c r="I344" s="554"/>
      <c r="J344" s="554"/>
      <c r="K344" s="554"/>
      <c r="L344" s="554"/>
      <c r="M344" s="554"/>
      <c r="N344" s="554"/>
      <c r="O344" s="554"/>
      <c r="P344" s="554"/>
      <c r="Q344" s="554"/>
      <c r="R344" s="554"/>
      <c r="S344" s="554"/>
      <c r="T344" s="554"/>
      <c r="U344" s="679"/>
    </row>
    <row r="345" spans="1:21" ht="18">
      <c r="A345" s="554" t="s">
        <v>769</v>
      </c>
      <c r="B345" s="554"/>
      <c r="C345" s="554"/>
      <c r="D345" s="554"/>
      <c r="E345" s="554"/>
      <c r="F345" s="554"/>
      <c r="G345" s="554"/>
      <c r="H345" s="554"/>
      <c r="I345" s="554"/>
      <c r="J345" s="554"/>
      <c r="K345" s="554"/>
      <c r="L345" s="554"/>
      <c r="M345" s="554"/>
      <c r="N345" s="554"/>
      <c r="O345" s="554"/>
      <c r="P345" s="554"/>
      <c r="Q345" s="554"/>
      <c r="R345" s="554"/>
      <c r="S345" s="554"/>
      <c r="T345" s="554"/>
      <c r="U345" s="679"/>
    </row>
    <row r="346" spans="1:21" ht="18">
      <c r="A346" s="554" t="s">
        <v>770</v>
      </c>
      <c r="B346" s="554"/>
      <c r="C346" s="554"/>
      <c r="D346" s="554"/>
      <c r="E346" s="554"/>
      <c r="F346" s="554"/>
      <c r="G346" s="554"/>
      <c r="H346" s="554"/>
      <c r="I346" s="554"/>
      <c r="J346" s="554"/>
      <c r="K346" s="554"/>
      <c r="L346" s="554"/>
      <c r="M346" s="554"/>
      <c r="N346" s="554"/>
      <c r="O346" s="554"/>
      <c r="P346" s="554"/>
      <c r="Q346" s="554"/>
      <c r="R346" s="554"/>
      <c r="S346" s="554"/>
      <c r="T346" s="554"/>
      <c r="U346" s="679"/>
    </row>
    <row r="347" spans="1:21" ht="18">
      <c r="A347" s="554"/>
      <c r="B347" s="554"/>
      <c r="C347" s="554"/>
      <c r="D347" s="554"/>
      <c r="E347" s="554"/>
      <c r="F347" s="554"/>
      <c r="G347" s="554"/>
      <c r="H347" s="554"/>
      <c r="I347" s="554"/>
      <c r="J347" s="554"/>
      <c r="K347" s="554"/>
      <c r="L347" s="554"/>
      <c r="M347" s="554"/>
      <c r="N347" s="554"/>
      <c r="O347" s="554"/>
      <c r="P347" s="554"/>
      <c r="Q347" s="554"/>
      <c r="R347" s="554"/>
      <c r="S347" s="554"/>
      <c r="T347" s="554"/>
      <c r="U347" s="679"/>
    </row>
    <row r="348" spans="1:21" ht="18">
      <c r="A348" s="554" t="s">
        <v>771</v>
      </c>
      <c r="B348" s="554"/>
      <c r="C348" s="554"/>
      <c r="D348" s="554"/>
      <c r="E348" s="554"/>
      <c r="F348" s="554"/>
      <c r="G348" s="554"/>
      <c r="H348" s="554"/>
      <c r="I348" s="554"/>
      <c r="J348" s="554"/>
      <c r="K348" s="554"/>
      <c r="L348" s="554"/>
      <c r="M348" s="554"/>
      <c r="N348" s="554"/>
      <c r="O348" s="554"/>
      <c r="P348" s="554"/>
      <c r="Q348" s="554"/>
      <c r="R348" s="554"/>
      <c r="S348" s="554"/>
      <c r="T348" s="554"/>
      <c r="U348" s="679"/>
    </row>
    <row r="349" spans="1:21" ht="18">
      <c r="A349" s="554" t="s">
        <v>772</v>
      </c>
      <c r="B349" s="554"/>
      <c r="C349" s="554"/>
      <c r="D349" s="554"/>
      <c r="E349" s="554"/>
      <c r="F349" s="554"/>
      <c r="G349" s="554"/>
      <c r="H349" s="554"/>
      <c r="I349" s="554"/>
      <c r="J349" s="554"/>
      <c r="K349" s="554"/>
      <c r="L349" s="554"/>
      <c r="M349" s="554"/>
      <c r="N349" s="554"/>
      <c r="O349" s="554"/>
      <c r="P349" s="554"/>
      <c r="Q349" s="554"/>
      <c r="R349" s="554"/>
      <c r="S349" s="554"/>
      <c r="T349" s="554"/>
      <c r="U349" s="679"/>
    </row>
    <row r="350" spans="1:21" ht="18">
      <c r="A350" s="554"/>
      <c r="B350" s="554"/>
      <c r="C350" s="554"/>
      <c r="D350" s="554"/>
      <c r="E350" s="554"/>
      <c r="F350" s="554"/>
      <c r="G350" s="554"/>
      <c r="H350" s="554"/>
      <c r="I350" s="554"/>
      <c r="J350" s="554"/>
      <c r="K350" s="554"/>
      <c r="L350" s="554"/>
      <c r="M350" s="554"/>
      <c r="N350" s="554"/>
      <c r="O350" s="554"/>
      <c r="P350" s="554"/>
      <c r="Q350" s="554"/>
      <c r="R350" s="554"/>
      <c r="S350" s="554"/>
      <c r="T350" s="554"/>
      <c r="U350" s="679"/>
    </row>
    <row r="351" spans="1:21" ht="18">
      <c r="A351" s="554" t="s">
        <v>773</v>
      </c>
      <c r="B351" s="554" t="s">
        <v>774</v>
      </c>
      <c r="C351" s="554"/>
      <c r="D351" s="554"/>
      <c r="E351" s="554"/>
      <c r="F351" s="554"/>
      <c r="G351" s="554"/>
      <c r="H351" s="554"/>
      <c r="I351" s="554"/>
      <c r="J351" s="554"/>
      <c r="K351" s="554"/>
      <c r="L351" s="554"/>
      <c r="M351" s="554"/>
      <c r="N351" s="554"/>
      <c r="O351" s="554"/>
      <c r="P351" s="554"/>
      <c r="Q351" s="554"/>
      <c r="R351" s="554"/>
      <c r="S351" s="554"/>
      <c r="T351" s="554"/>
      <c r="U351" s="679"/>
    </row>
    <row r="352" spans="1:21" ht="18">
      <c r="A352" s="554"/>
      <c r="B352" s="554"/>
      <c r="C352" s="554"/>
      <c r="D352" s="554"/>
      <c r="E352" s="554"/>
      <c r="F352" s="554"/>
      <c r="G352" s="554"/>
      <c r="H352" s="554"/>
      <c r="I352" s="554"/>
      <c r="J352" s="554"/>
      <c r="K352" s="554"/>
      <c r="L352" s="554"/>
      <c r="M352" s="554"/>
      <c r="N352" s="554"/>
      <c r="O352" s="554"/>
      <c r="P352" s="554"/>
      <c r="Q352" s="554"/>
      <c r="R352" s="554"/>
      <c r="S352" s="554"/>
      <c r="T352" s="554"/>
      <c r="U352" s="679"/>
    </row>
    <row r="353" spans="1:21" ht="18">
      <c r="A353" s="554" t="s">
        <v>775</v>
      </c>
      <c r="B353" s="554" t="s">
        <v>776</v>
      </c>
      <c r="C353" s="554"/>
      <c r="D353" s="554"/>
      <c r="E353" s="554"/>
      <c r="F353" s="554"/>
      <c r="G353" s="554"/>
      <c r="H353" s="554"/>
      <c r="I353" s="554"/>
      <c r="J353" s="554"/>
      <c r="K353" s="554"/>
      <c r="L353" s="554"/>
      <c r="M353" s="554"/>
      <c r="N353" s="554"/>
      <c r="O353" s="554"/>
      <c r="P353" s="554"/>
      <c r="Q353" s="554"/>
      <c r="R353" s="554"/>
      <c r="S353" s="554"/>
      <c r="T353" s="554"/>
      <c r="U353" s="679"/>
    </row>
    <row r="354" spans="1:21" ht="18">
      <c r="A354" s="554"/>
      <c r="B354" s="554"/>
      <c r="C354" s="554"/>
      <c r="D354" s="554"/>
      <c r="E354" s="554"/>
      <c r="F354" s="554"/>
      <c r="G354" s="554"/>
      <c r="H354" s="554"/>
      <c r="I354" s="554"/>
      <c r="J354" s="554"/>
      <c r="K354" s="554"/>
      <c r="L354" s="554"/>
      <c r="M354" s="554"/>
      <c r="N354" s="554"/>
      <c r="O354" s="554"/>
      <c r="P354" s="554"/>
      <c r="Q354" s="554"/>
      <c r="R354" s="554"/>
      <c r="S354" s="554"/>
      <c r="T354" s="554"/>
      <c r="U354" s="679"/>
    </row>
    <row r="355" spans="1:21" ht="21">
      <c r="A355" s="749" t="s">
        <v>777</v>
      </c>
      <c r="B355" s="554" t="s">
        <v>778</v>
      </c>
      <c r="C355" s="554"/>
      <c r="D355" s="554"/>
      <c r="E355" s="554"/>
      <c r="F355" s="554"/>
      <c r="G355" s="554"/>
      <c r="H355" s="554"/>
      <c r="I355" s="554"/>
      <c r="J355" s="554"/>
      <c r="K355" s="554"/>
      <c r="L355" s="554"/>
      <c r="M355" s="554"/>
      <c r="N355" s="554"/>
      <c r="O355" s="554"/>
      <c r="P355" s="554"/>
      <c r="Q355" s="554"/>
      <c r="R355" s="554"/>
      <c r="S355" s="554"/>
      <c r="T355" s="554"/>
      <c r="U355" s="679">
        <v>8</v>
      </c>
    </row>
    <row r="359" spans="1:21" s="2" customFormat="1">
      <c r="A359" s="347">
        <v>22</v>
      </c>
      <c r="B359" s="347"/>
    </row>
    <row r="361" spans="1:21" ht="15.75">
      <c r="A361" s="752"/>
      <c r="B361" s="752"/>
      <c r="C361" s="91"/>
      <c r="D361" s="91"/>
      <c r="E361" s="91"/>
      <c r="F361" s="91"/>
      <c r="G361" s="91"/>
      <c r="H361" s="91"/>
      <c r="I361" s="91"/>
      <c r="J361" s="91"/>
      <c r="K361" s="91"/>
    </row>
    <row r="362" spans="1:21">
      <c r="A362" s="753" t="s">
        <v>474</v>
      </c>
      <c r="B362" s="754">
        <v>0.1</v>
      </c>
      <c r="C362" s="10"/>
      <c r="D362" s="110"/>
      <c r="E362" s="10"/>
      <c r="F362" s="10"/>
      <c r="G362" s="10"/>
      <c r="H362" s="10"/>
      <c r="I362" s="10"/>
      <c r="J362" s="10"/>
      <c r="K362" s="10"/>
    </row>
    <row r="363" spans="1:21" ht="15.75">
      <c r="A363" s="753" t="s">
        <v>786</v>
      </c>
      <c r="B363" s="754">
        <v>0.03</v>
      </c>
      <c r="C363" s="91"/>
      <c r="D363" s="91"/>
      <c r="E363" s="91"/>
      <c r="F363" s="91"/>
      <c r="G363" s="91"/>
      <c r="H363" s="91"/>
      <c r="I363" s="91"/>
      <c r="J363" s="91"/>
      <c r="K363" s="91"/>
    </row>
    <row r="364" spans="1:21" ht="15.75">
      <c r="A364" s="753" t="s">
        <v>787</v>
      </c>
      <c r="B364" s="755">
        <v>100000</v>
      </c>
      <c r="C364" s="10"/>
      <c r="D364" s="110"/>
      <c r="E364" s="10"/>
      <c r="F364" s="10"/>
      <c r="G364" s="10"/>
      <c r="H364" s="10"/>
      <c r="I364" s="10"/>
      <c r="J364" s="10"/>
      <c r="K364" s="10"/>
    </row>
    <row r="365" spans="1:21" ht="28.9">
      <c r="A365" s="756" t="s">
        <v>788</v>
      </c>
      <c r="B365" s="754">
        <v>0.08</v>
      </c>
      <c r="C365" s="91"/>
      <c r="D365" s="91"/>
      <c r="E365" s="91"/>
      <c r="F365" s="91"/>
      <c r="G365" s="91"/>
      <c r="H365" s="91"/>
      <c r="I365" s="91"/>
      <c r="J365" s="91"/>
      <c r="K365" s="91"/>
    </row>
    <row r="366" spans="1:21">
      <c r="A366" s="753" t="s">
        <v>66</v>
      </c>
      <c r="B366" s="754">
        <v>0.25</v>
      </c>
      <c r="C366" s="10"/>
      <c r="D366" s="110"/>
      <c r="E366" s="10"/>
      <c r="F366" s="10"/>
      <c r="G366" s="10"/>
      <c r="H366" s="10"/>
      <c r="I366" s="10"/>
      <c r="J366" s="10"/>
      <c r="K366" s="10"/>
    </row>
    <row r="367" spans="1:21" ht="15.75">
      <c r="A367" s="753" t="s">
        <v>101</v>
      </c>
      <c r="B367" s="755">
        <v>5</v>
      </c>
      <c r="C367" s="91"/>
      <c r="D367" s="91"/>
      <c r="E367" s="91"/>
      <c r="F367" s="91"/>
      <c r="G367" s="91"/>
      <c r="H367" s="91"/>
      <c r="I367" s="91"/>
      <c r="J367" s="91"/>
      <c r="K367" s="91"/>
    </row>
    <row r="368" spans="1:21" ht="15.75">
      <c r="A368" s="753" t="s">
        <v>789</v>
      </c>
      <c r="B368" s="755">
        <v>12000</v>
      </c>
      <c r="C368" s="10"/>
      <c r="D368" s="110"/>
      <c r="E368" s="10"/>
      <c r="F368" s="10"/>
      <c r="G368" s="10"/>
      <c r="H368" s="10"/>
      <c r="I368" s="10"/>
      <c r="J368" s="10"/>
      <c r="K368" s="10"/>
    </row>
    <row r="369" spans="1:12" ht="15.75">
      <c r="A369" s="753" t="s">
        <v>790</v>
      </c>
      <c r="B369" s="755">
        <v>8000</v>
      </c>
      <c r="C369" s="91"/>
      <c r="D369" s="91"/>
      <c r="E369" s="91"/>
      <c r="F369" s="91"/>
      <c r="G369" s="91"/>
      <c r="H369" s="91"/>
      <c r="I369" s="91"/>
      <c r="J369" s="91"/>
      <c r="K369" s="91"/>
    </row>
    <row r="370" spans="1:12" ht="15.75">
      <c r="A370" s="753" t="s">
        <v>601</v>
      </c>
      <c r="B370" s="755">
        <v>9000</v>
      </c>
      <c r="C370" s="10"/>
      <c r="D370" s="110"/>
      <c r="E370" s="10"/>
      <c r="F370" s="10"/>
      <c r="G370" s="10"/>
      <c r="H370" s="10"/>
      <c r="I370" s="10"/>
      <c r="J370" s="10"/>
      <c r="K370" s="10"/>
    </row>
    <row r="371" spans="1:12" ht="15.75">
      <c r="A371" s="753" t="s">
        <v>602</v>
      </c>
      <c r="B371" s="755">
        <v>2000</v>
      </c>
      <c r="C371" s="91"/>
      <c r="D371" s="91"/>
      <c r="E371" s="91"/>
      <c r="F371" s="91"/>
      <c r="G371" s="91"/>
      <c r="H371" s="91"/>
      <c r="I371" s="91"/>
      <c r="J371" s="91"/>
      <c r="K371" s="91"/>
    </row>
    <row r="372" spans="1:12" ht="15.75">
      <c r="A372" s="753" t="s">
        <v>791</v>
      </c>
      <c r="B372" s="755">
        <v>2</v>
      </c>
      <c r="C372" s="10"/>
      <c r="D372" s="110"/>
      <c r="E372" s="10"/>
      <c r="F372" s="10"/>
      <c r="G372" s="10"/>
      <c r="H372" s="10"/>
      <c r="I372" s="10"/>
      <c r="J372" s="10"/>
      <c r="K372" s="10"/>
    </row>
    <row r="373" spans="1:12" ht="21">
      <c r="A373" s="976" t="s">
        <v>793</v>
      </c>
      <c r="B373" s="977"/>
      <c r="C373" s="977"/>
      <c r="D373" s="977"/>
      <c r="E373" s="977"/>
      <c r="F373" s="977"/>
      <c r="G373" s="977"/>
      <c r="H373" s="977"/>
      <c r="I373" s="977"/>
      <c r="J373" s="977"/>
      <c r="K373" s="977"/>
    </row>
    <row r="374" spans="1:12" ht="14.25" customHeight="1">
      <c r="A374" s="981" t="s">
        <v>792</v>
      </c>
      <c r="B374" s="981"/>
      <c r="C374" s="981"/>
      <c r="D374" s="981"/>
      <c r="E374" s="981"/>
      <c r="F374" s="981"/>
      <c r="G374" s="981"/>
      <c r="H374" s="981"/>
      <c r="I374" s="981"/>
      <c r="J374" s="981"/>
      <c r="K374" s="981"/>
    </row>
    <row r="375" spans="1:12">
      <c r="A375" s="981"/>
      <c r="B375" s="981"/>
      <c r="C375" s="981"/>
      <c r="D375" s="981"/>
      <c r="E375" s="981"/>
      <c r="F375" s="981"/>
      <c r="G375" s="981"/>
      <c r="H375" s="981"/>
      <c r="I375" s="981"/>
      <c r="J375" s="981"/>
      <c r="K375" s="981"/>
    </row>
    <row r="376" spans="1:12">
      <c r="A376" s="981"/>
      <c r="B376" s="981"/>
      <c r="C376" s="981"/>
      <c r="D376" s="981"/>
      <c r="E376" s="981"/>
      <c r="F376" s="981"/>
      <c r="G376" s="981"/>
      <c r="H376" s="981"/>
      <c r="I376" s="981"/>
      <c r="J376" s="981"/>
      <c r="K376" s="981"/>
    </row>
    <row r="378" spans="1:12" s="2" customFormat="1">
      <c r="A378" s="325">
        <v>23</v>
      </c>
    </row>
    <row r="379" spans="1:12">
      <c r="A379" s="1245" t="s">
        <v>834</v>
      </c>
      <c r="B379" s="1245"/>
      <c r="C379" s="1245"/>
      <c r="D379" s="1245"/>
      <c r="E379" s="1245"/>
      <c r="F379" s="1245"/>
      <c r="G379" s="1245"/>
    </row>
    <row r="380" spans="1:12" ht="21">
      <c r="A380" s="340" t="s">
        <v>510</v>
      </c>
      <c r="B380" s="340">
        <v>0</v>
      </c>
      <c r="C380" s="340">
        <v>1</v>
      </c>
      <c r="D380" s="340">
        <v>2</v>
      </c>
      <c r="E380" s="340">
        <v>3</v>
      </c>
      <c r="F380" s="340">
        <v>4</v>
      </c>
      <c r="G380" s="340">
        <v>5</v>
      </c>
      <c r="H380" s="10"/>
      <c r="I380" s="10"/>
      <c r="J380" s="10"/>
      <c r="K380" s="10"/>
      <c r="L380" s="10"/>
    </row>
    <row r="381" spans="1:12" ht="21">
      <c r="A381" s="341" t="s">
        <v>831</v>
      </c>
      <c r="B381" s="342">
        <v>-100000</v>
      </c>
      <c r="C381" s="342">
        <v>10000</v>
      </c>
      <c r="D381" s="342">
        <v>10000</v>
      </c>
      <c r="E381" s="342">
        <v>20000</v>
      </c>
      <c r="F381" s="342">
        <v>50000</v>
      </c>
      <c r="G381" s="342">
        <v>20000</v>
      </c>
      <c r="H381" s="10"/>
      <c r="I381" s="10"/>
      <c r="J381" s="10"/>
      <c r="K381" s="10"/>
      <c r="L381" s="10"/>
    </row>
    <row r="382" spans="1:12" ht="21">
      <c r="A382" s="343" t="s">
        <v>832</v>
      </c>
      <c r="B382" s="342">
        <v>-100000</v>
      </c>
      <c r="C382" s="772">
        <v>50000</v>
      </c>
      <c r="D382" s="772">
        <v>60000</v>
      </c>
      <c r="E382" s="772">
        <v>70000</v>
      </c>
      <c r="F382" s="772">
        <v>10000</v>
      </c>
      <c r="G382" s="772">
        <v>0</v>
      </c>
      <c r="H382" s="10"/>
      <c r="I382" s="10"/>
      <c r="J382" s="10"/>
      <c r="K382" s="10"/>
      <c r="L382" s="10"/>
    </row>
    <row r="383" spans="1:12" ht="21">
      <c r="A383" s="341" t="s">
        <v>833</v>
      </c>
      <c r="B383" s="342">
        <v>-100000</v>
      </c>
      <c r="C383" s="342">
        <v>30000</v>
      </c>
      <c r="D383" s="342">
        <v>40000</v>
      </c>
      <c r="E383" s="342">
        <v>60000</v>
      </c>
      <c r="F383" s="342">
        <v>80000</v>
      </c>
      <c r="G383" s="342">
        <v>80000</v>
      </c>
      <c r="H383" s="10"/>
      <c r="I383" s="10"/>
      <c r="J383" s="10"/>
      <c r="K383" s="10"/>
      <c r="L383" s="10"/>
    </row>
    <row r="384" spans="1:12">
      <c r="A384" s="10"/>
      <c r="B384" s="10"/>
      <c r="C384" s="10"/>
      <c r="D384" s="10"/>
      <c r="E384" s="10"/>
      <c r="F384" s="10"/>
      <c r="G384" s="10"/>
      <c r="H384" s="10"/>
      <c r="I384" s="10"/>
      <c r="J384" s="10"/>
      <c r="K384" s="10"/>
      <c r="L384" s="10"/>
    </row>
    <row r="385" spans="1:12">
      <c r="A385" s="1162" t="s">
        <v>835</v>
      </c>
      <c r="B385" s="1162"/>
      <c r="C385" s="1162"/>
      <c r="D385" s="1162"/>
      <c r="E385" s="1162"/>
      <c r="F385" s="1162"/>
      <c r="G385" s="1162"/>
      <c r="H385" s="1162"/>
      <c r="I385" s="1162"/>
      <c r="J385" s="1162"/>
      <c r="K385" s="1162"/>
      <c r="L385" s="1162"/>
    </row>
    <row r="386" spans="1:12">
      <c r="A386" s="191"/>
      <c r="B386" s="339"/>
      <c r="C386" s="339"/>
      <c r="D386" s="339"/>
      <c r="E386" s="339"/>
      <c r="F386" s="339"/>
      <c r="G386" s="339"/>
      <c r="H386" s="339"/>
      <c r="I386" s="339"/>
      <c r="J386" s="339"/>
      <c r="K386" s="339"/>
      <c r="L386" s="339"/>
    </row>
    <row r="387" spans="1:12">
      <c r="A387" s="191"/>
      <c r="B387" s="339"/>
      <c r="C387" s="339"/>
      <c r="D387" s="339"/>
      <c r="E387" s="339"/>
      <c r="F387" s="339"/>
      <c r="G387" s="339"/>
      <c r="H387" s="339"/>
      <c r="I387" s="339"/>
      <c r="J387" s="339"/>
      <c r="K387" s="339"/>
      <c r="L387" s="339"/>
    </row>
    <row r="388" spans="1:12">
      <c r="A388" s="191"/>
      <c r="B388" s="339"/>
      <c r="C388" s="339"/>
      <c r="D388" s="339"/>
      <c r="E388" s="339"/>
      <c r="F388" s="339"/>
      <c r="G388" s="339"/>
      <c r="H388" s="339"/>
      <c r="I388" s="339"/>
      <c r="J388" s="339"/>
      <c r="K388" s="339"/>
      <c r="L388" s="339"/>
    </row>
    <row r="389" spans="1:12">
      <c r="A389" s="191"/>
      <c r="B389" s="339"/>
      <c r="C389" s="339"/>
      <c r="D389" s="339"/>
      <c r="E389" s="339"/>
      <c r="F389" s="339"/>
      <c r="G389" s="339"/>
      <c r="H389" s="339"/>
      <c r="I389" s="339"/>
      <c r="J389" s="339"/>
      <c r="K389" s="339"/>
      <c r="L389" s="339"/>
    </row>
    <row r="390" spans="1:12">
      <c r="A390" s="191"/>
      <c r="B390" s="339"/>
      <c r="C390" s="339"/>
      <c r="D390" s="339"/>
      <c r="E390" s="339"/>
      <c r="F390" s="339"/>
      <c r="G390" s="339"/>
      <c r="H390" s="339"/>
      <c r="I390" s="339"/>
      <c r="J390" s="339"/>
      <c r="K390" s="339"/>
      <c r="L390" s="339"/>
    </row>
    <row r="391" spans="1:12">
      <c r="A391" s="191"/>
      <c r="B391" s="339"/>
      <c r="C391" s="339"/>
      <c r="D391" s="339"/>
      <c r="E391" s="339"/>
      <c r="F391" s="339"/>
      <c r="G391" s="339"/>
      <c r="H391" s="339"/>
      <c r="I391" s="339"/>
      <c r="J391" s="339"/>
      <c r="K391" s="339"/>
      <c r="L391" s="339"/>
    </row>
    <row r="392" spans="1:12">
      <c r="A392" s="191"/>
      <c r="B392" s="339"/>
      <c r="C392" s="339"/>
      <c r="D392" s="339"/>
      <c r="E392" s="339"/>
      <c r="F392" s="339"/>
      <c r="G392" s="339"/>
      <c r="H392" s="339"/>
      <c r="I392" s="339"/>
      <c r="J392" s="339"/>
      <c r="K392" s="339"/>
      <c r="L392" s="339"/>
    </row>
    <row r="393" spans="1:12">
      <c r="A393" s="191"/>
      <c r="B393" s="339"/>
      <c r="C393" s="339"/>
      <c r="D393" s="339"/>
      <c r="E393" s="339"/>
      <c r="F393" s="339"/>
      <c r="G393" s="339"/>
      <c r="H393" s="339"/>
      <c r="I393" s="339"/>
      <c r="J393" s="339"/>
      <c r="K393" s="339"/>
      <c r="L393" s="339"/>
    </row>
    <row r="394" spans="1:12">
      <c r="A394" s="191"/>
      <c r="B394" s="339"/>
      <c r="C394" s="339"/>
      <c r="D394" s="339"/>
      <c r="E394" s="339"/>
      <c r="F394" s="339"/>
      <c r="G394" s="339"/>
      <c r="H394" s="339"/>
      <c r="I394" s="339"/>
      <c r="J394" s="339"/>
      <c r="K394" s="339"/>
      <c r="L394" s="339"/>
    </row>
    <row r="395" spans="1:12">
      <c r="A395" s="191"/>
      <c r="B395" s="339"/>
      <c r="C395" s="339"/>
      <c r="D395" s="339"/>
      <c r="E395" s="339"/>
      <c r="F395" s="339"/>
      <c r="G395" s="339"/>
      <c r="H395" s="339"/>
      <c r="I395" s="339"/>
      <c r="J395" s="339"/>
      <c r="K395" s="339"/>
      <c r="L395" s="339"/>
    </row>
    <row r="396" spans="1:12">
      <c r="A396" s="191"/>
      <c r="B396" s="339"/>
      <c r="C396" s="339"/>
      <c r="D396" s="339"/>
      <c r="E396" s="339"/>
      <c r="F396" s="339"/>
      <c r="G396" s="339"/>
      <c r="H396" s="339"/>
      <c r="I396" s="339"/>
      <c r="J396" s="339"/>
      <c r="K396" s="339"/>
      <c r="L396" s="339"/>
    </row>
    <row r="397" spans="1:12">
      <c r="A397" s="191"/>
      <c r="B397" s="339"/>
      <c r="C397" s="339"/>
      <c r="D397" s="339"/>
      <c r="E397" s="339"/>
      <c r="F397" s="339"/>
      <c r="G397" s="339"/>
      <c r="H397" s="339"/>
      <c r="I397" s="339"/>
      <c r="J397" s="339"/>
      <c r="K397" s="339"/>
      <c r="L397" s="339"/>
    </row>
    <row r="398" spans="1:12">
      <c r="A398" s="191"/>
      <c r="B398" s="339"/>
      <c r="C398" s="339"/>
      <c r="D398" s="339"/>
      <c r="E398" s="339"/>
      <c r="F398" s="339"/>
      <c r="G398" s="339"/>
      <c r="H398" s="339"/>
      <c r="I398" s="339"/>
      <c r="J398" s="339"/>
      <c r="K398" s="339"/>
      <c r="L398" s="339"/>
    </row>
    <row r="399" spans="1:12">
      <c r="A399" s="191"/>
      <c r="B399" s="339"/>
      <c r="C399" s="339"/>
      <c r="D399" s="339"/>
      <c r="E399" s="339"/>
      <c r="F399" s="339"/>
      <c r="G399" s="339"/>
      <c r="H399" s="339"/>
      <c r="I399" s="339"/>
      <c r="J399" s="339"/>
      <c r="K399" s="339"/>
      <c r="L399" s="339"/>
    </row>
    <row r="400" spans="1:12">
      <c r="A400" s="191"/>
      <c r="B400" s="339"/>
      <c r="C400" s="339"/>
      <c r="D400" s="339"/>
      <c r="E400" s="339"/>
      <c r="F400" s="339"/>
      <c r="G400" s="339"/>
      <c r="H400" s="339"/>
      <c r="I400" s="339"/>
      <c r="J400" s="339"/>
      <c r="K400" s="339"/>
      <c r="L400" s="339"/>
    </row>
    <row r="401" spans="1:12">
      <c r="A401" s="191"/>
      <c r="B401" s="339"/>
      <c r="C401" s="339"/>
      <c r="D401" s="339"/>
      <c r="E401" s="339"/>
      <c r="F401" s="339"/>
      <c r="G401" s="339"/>
      <c r="H401" s="339"/>
      <c r="I401" s="339"/>
      <c r="J401" s="339"/>
      <c r="K401" s="339"/>
      <c r="L401" s="339"/>
    </row>
    <row r="402" spans="1:12">
      <c r="A402" s="191"/>
      <c r="B402" s="339"/>
      <c r="C402" s="339"/>
      <c r="D402" s="339"/>
      <c r="E402" s="339"/>
      <c r="F402" s="339"/>
      <c r="G402" s="339"/>
      <c r="H402" s="339"/>
      <c r="I402" s="339"/>
      <c r="J402" s="339"/>
      <c r="K402" s="339"/>
      <c r="L402" s="339"/>
    </row>
    <row r="403" spans="1:12">
      <c r="A403" s="191"/>
      <c r="B403" s="339"/>
      <c r="C403" s="339"/>
      <c r="D403" s="339"/>
      <c r="E403" s="339"/>
      <c r="F403" s="339"/>
      <c r="G403" s="339"/>
      <c r="H403" s="339"/>
      <c r="I403" s="339"/>
      <c r="J403" s="339"/>
      <c r="K403" s="339"/>
      <c r="L403" s="339"/>
    </row>
    <row r="404" spans="1:12">
      <c r="A404" s="191"/>
      <c r="B404" s="339"/>
      <c r="C404" s="339"/>
      <c r="D404" s="339"/>
      <c r="E404" s="339"/>
      <c r="F404" s="339"/>
      <c r="G404" s="339"/>
      <c r="H404" s="339"/>
      <c r="I404" s="339"/>
      <c r="J404" s="339"/>
      <c r="K404" s="339"/>
      <c r="L404" s="339"/>
    </row>
    <row r="405" spans="1:12">
      <c r="A405" s="191"/>
      <c r="B405" s="339"/>
      <c r="C405" s="339"/>
      <c r="D405" s="339"/>
      <c r="E405" s="339"/>
      <c r="F405" s="339"/>
      <c r="G405" s="339"/>
      <c r="H405" s="339"/>
      <c r="I405" s="339"/>
      <c r="J405" s="339"/>
      <c r="K405" s="339"/>
      <c r="L405" s="339"/>
    </row>
    <row r="406" spans="1:12">
      <c r="A406" s="191"/>
      <c r="B406" s="339"/>
      <c r="C406" s="339"/>
      <c r="D406" s="339"/>
      <c r="E406" s="339"/>
      <c r="F406" s="339"/>
      <c r="G406" s="339"/>
      <c r="H406" s="339"/>
      <c r="I406" s="339"/>
      <c r="J406" s="339"/>
      <c r="K406" s="339"/>
      <c r="L406" s="339"/>
    </row>
    <row r="407" spans="1:12">
      <c r="A407" s="191"/>
      <c r="B407" s="339"/>
      <c r="C407" s="339"/>
      <c r="D407" s="339"/>
      <c r="E407" s="339"/>
      <c r="F407" s="339"/>
      <c r="G407" s="339"/>
      <c r="H407" s="339"/>
      <c r="I407" s="339"/>
      <c r="J407" s="339"/>
      <c r="K407" s="339"/>
      <c r="L407" s="339"/>
    </row>
    <row r="408" spans="1:12">
      <c r="A408" s="191"/>
      <c r="B408" s="339"/>
      <c r="C408" s="339"/>
      <c r="D408" s="339"/>
      <c r="E408" s="339"/>
      <c r="F408" s="339"/>
      <c r="G408" s="339"/>
      <c r="H408" s="339"/>
      <c r="I408" s="339"/>
      <c r="J408" s="339"/>
      <c r="K408" s="339"/>
      <c r="L408" s="339"/>
    </row>
    <row r="409" spans="1:12">
      <c r="A409" s="191"/>
      <c r="B409" s="339"/>
      <c r="C409" s="339"/>
      <c r="D409" s="339"/>
      <c r="E409" s="339"/>
      <c r="F409" s="339"/>
      <c r="G409" s="339"/>
      <c r="H409" s="339"/>
      <c r="I409" s="339"/>
      <c r="J409" s="339"/>
      <c r="K409" s="339"/>
      <c r="L409" s="339"/>
    </row>
    <row r="410" spans="1:12">
      <c r="A410" s="191"/>
      <c r="B410" s="339"/>
      <c r="C410" s="339"/>
      <c r="D410" s="339"/>
      <c r="E410" s="339"/>
      <c r="F410" s="339"/>
      <c r="G410" s="339"/>
      <c r="H410" s="339"/>
      <c r="I410" s="339"/>
      <c r="J410" s="339"/>
      <c r="K410" s="339"/>
      <c r="L410" s="339"/>
    </row>
    <row r="411" spans="1:12" ht="14.25" customHeight="1">
      <c r="A411" s="1162" t="s">
        <v>836</v>
      </c>
      <c r="B411" s="1162"/>
      <c r="C411" s="1162"/>
      <c r="D411" s="1162"/>
      <c r="E411" s="1162"/>
      <c r="F411" s="1162"/>
      <c r="G411" s="1162"/>
      <c r="H411" s="1162"/>
      <c r="I411" s="1162"/>
      <c r="J411" s="1162"/>
      <c r="K411" s="1162"/>
      <c r="L411" s="1162"/>
    </row>
    <row r="412" spans="1:12">
      <c r="A412" s="1162"/>
      <c r="B412" s="1162"/>
      <c r="C412" s="1162"/>
      <c r="D412" s="1162"/>
      <c r="E412" s="1162"/>
      <c r="F412" s="1162"/>
      <c r="G412" s="1162"/>
      <c r="H412" s="1162"/>
      <c r="I412" s="1162"/>
      <c r="J412" s="1162"/>
      <c r="K412" s="1162"/>
      <c r="L412" s="1162"/>
    </row>
    <row r="413" spans="1:12">
      <c r="A413" s="1162"/>
      <c r="B413" s="1162"/>
      <c r="C413" s="1162"/>
      <c r="D413" s="1162"/>
      <c r="E413" s="1162"/>
      <c r="F413" s="1162"/>
      <c r="G413" s="1162"/>
      <c r="H413" s="1162"/>
      <c r="I413" s="1162"/>
      <c r="J413" s="1162"/>
      <c r="K413" s="1162"/>
      <c r="L413" s="1162"/>
    </row>
    <row r="414" spans="1:12">
      <c r="A414" s="1162"/>
      <c r="B414" s="1162"/>
      <c r="C414" s="1162"/>
      <c r="D414" s="1162"/>
      <c r="E414" s="1162"/>
      <c r="F414" s="1162"/>
      <c r="G414" s="1162"/>
      <c r="H414" s="1162"/>
      <c r="I414" s="1162"/>
      <c r="J414" s="1162"/>
      <c r="K414" s="1162"/>
      <c r="L414" s="1162"/>
    </row>
    <row r="415" spans="1:12">
      <c r="A415" s="1162"/>
      <c r="B415" s="1162"/>
      <c r="C415" s="1162"/>
      <c r="D415" s="1162"/>
      <c r="E415" s="1162"/>
      <c r="F415" s="1162"/>
      <c r="G415" s="1162"/>
      <c r="H415" s="1162"/>
      <c r="I415" s="1162"/>
      <c r="J415" s="1162"/>
      <c r="K415" s="1162"/>
      <c r="L415" s="1162"/>
    </row>
    <row r="416" spans="1:12">
      <c r="A416" s="1162"/>
      <c r="B416" s="1162"/>
      <c r="C416" s="1162"/>
      <c r="D416" s="1162"/>
      <c r="E416" s="1162"/>
      <c r="F416" s="1162"/>
      <c r="G416" s="1162"/>
      <c r="H416" s="1162"/>
      <c r="I416" s="1162"/>
      <c r="J416" s="1162"/>
      <c r="K416" s="1162"/>
      <c r="L416" s="1162"/>
    </row>
    <row r="418" spans="1:12" s="2" customFormat="1">
      <c r="A418" s="325">
        <v>24</v>
      </c>
    </row>
    <row r="420" spans="1:12" ht="15.75">
      <c r="A420" s="752"/>
      <c r="B420" s="752"/>
      <c r="C420" s="91"/>
      <c r="D420" s="91"/>
      <c r="E420" s="91"/>
      <c r="F420" s="91"/>
      <c r="G420" s="91"/>
      <c r="H420" s="91"/>
      <c r="I420" s="91"/>
      <c r="J420" s="91"/>
      <c r="K420" s="91"/>
      <c r="L420" s="91"/>
    </row>
    <row r="421" spans="1:12">
      <c r="A421" s="753" t="s">
        <v>474</v>
      </c>
      <c r="B421" s="754">
        <v>0.11</v>
      </c>
      <c r="C421" s="10"/>
      <c r="D421" s="110"/>
      <c r="E421" s="10"/>
      <c r="F421" s="10"/>
      <c r="G421" s="10"/>
      <c r="H421" s="10"/>
      <c r="I421" s="10"/>
      <c r="J421" s="10"/>
      <c r="K421" s="10"/>
      <c r="L421" s="10"/>
    </row>
    <row r="422" spans="1:12" ht="15.75">
      <c r="A422" s="753" t="s">
        <v>786</v>
      </c>
      <c r="B422" s="754">
        <v>0.03</v>
      </c>
      <c r="C422" s="91"/>
      <c r="D422" s="91"/>
      <c r="E422" s="91"/>
      <c r="F422" s="91"/>
      <c r="G422" s="91"/>
      <c r="H422" s="91"/>
      <c r="I422" s="91"/>
      <c r="J422" s="91"/>
      <c r="K422" s="91"/>
      <c r="L422" s="91"/>
    </row>
    <row r="423" spans="1:12" ht="15.75">
      <c r="A423" s="753" t="s">
        <v>548</v>
      </c>
      <c r="B423" s="755">
        <v>250000</v>
      </c>
      <c r="C423" s="10"/>
      <c r="D423" s="110"/>
      <c r="E423" s="10"/>
      <c r="F423" s="10"/>
      <c r="G423" s="10"/>
      <c r="H423" s="10"/>
      <c r="I423" s="10"/>
      <c r="J423" s="10"/>
      <c r="K423" s="10"/>
      <c r="L423" s="10"/>
    </row>
    <row r="424" spans="1:12" ht="28.9">
      <c r="A424" s="756" t="s">
        <v>840</v>
      </c>
      <c r="B424" s="754">
        <v>0.04</v>
      </c>
      <c r="C424" s="91"/>
      <c r="D424" s="91"/>
      <c r="E424" s="91"/>
      <c r="F424" s="91"/>
      <c r="G424" s="91"/>
      <c r="H424" s="91"/>
      <c r="I424" s="91"/>
      <c r="J424" s="91"/>
      <c r="K424" s="91"/>
      <c r="L424" s="91"/>
    </row>
    <row r="425" spans="1:12">
      <c r="A425" s="753" t="s">
        <v>66</v>
      </c>
      <c r="B425" s="754">
        <v>0.25</v>
      </c>
      <c r="C425" s="10"/>
      <c r="D425" s="110"/>
      <c r="E425" s="10"/>
      <c r="F425" s="10"/>
      <c r="G425" s="10"/>
      <c r="H425" s="10"/>
      <c r="I425" s="10"/>
      <c r="J425" s="10"/>
      <c r="K425" s="10"/>
      <c r="L425" s="10"/>
    </row>
    <row r="426" spans="1:12">
      <c r="A426" s="753" t="s">
        <v>841</v>
      </c>
      <c r="B426" s="754">
        <v>0.1</v>
      </c>
      <c r="C426" s="10"/>
      <c r="D426" s="110"/>
      <c r="E426" s="10"/>
      <c r="F426" s="10"/>
      <c r="G426" s="10"/>
      <c r="H426" s="10"/>
      <c r="I426" s="10"/>
      <c r="J426" s="10"/>
      <c r="K426" s="10"/>
      <c r="L426" s="10"/>
    </row>
    <row r="427" spans="1:12" ht="15.75">
      <c r="A427" s="753" t="s">
        <v>842</v>
      </c>
      <c r="B427" s="773">
        <v>0.65</v>
      </c>
      <c r="C427" s="91"/>
      <c r="D427" s="91"/>
      <c r="E427" s="91"/>
      <c r="F427" s="91"/>
      <c r="G427" s="91"/>
      <c r="H427" s="91"/>
      <c r="I427" s="91"/>
      <c r="J427" s="91"/>
      <c r="K427" s="91"/>
      <c r="L427" s="91"/>
    </row>
    <row r="428" spans="1:12" ht="15.75">
      <c r="A428" s="753" t="s">
        <v>789</v>
      </c>
      <c r="B428" s="755">
        <v>18000</v>
      </c>
      <c r="C428" s="10"/>
      <c r="D428" s="110"/>
      <c r="E428" s="10"/>
      <c r="F428" s="10"/>
      <c r="G428" s="10"/>
      <c r="H428" s="10"/>
      <c r="I428" s="10"/>
      <c r="J428" s="10"/>
      <c r="K428" s="10"/>
      <c r="L428" s="10"/>
    </row>
    <row r="429" spans="1:12" ht="15.75">
      <c r="A429" s="753" t="s">
        <v>790</v>
      </c>
      <c r="B429" s="755">
        <v>6000</v>
      </c>
      <c r="C429" s="91"/>
      <c r="D429" s="91"/>
      <c r="E429" s="91"/>
      <c r="F429" s="91"/>
      <c r="G429" s="91"/>
      <c r="H429" s="91"/>
      <c r="I429" s="91"/>
      <c r="J429" s="91"/>
      <c r="K429" s="91"/>
      <c r="L429" s="91"/>
    </row>
    <row r="430" spans="1:12" ht="15.75">
      <c r="A430" s="753" t="s">
        <v>601</v>
      </c>
      <c r="B430" s="755">
        <v>4000</v>
      </c>
      <c r="C430" s="91"/>
      <c r="D430" s="91"/>
      <c r="E430" s="91"/>
      <c r="F430" s="91"/>
      <c r="G430" s="91"/>
      <c r="H430" s="91"/>
      <c r="I430" s="91"/>
      <c r="J430" s="91"/>
      <c r="K430" s="91"/>
      <c r="L430" s="91"/>
    </row>
    <row r="431" spans="1:12" ht="15.75">
      <c r="A431" s="753" t="s">
        <v>602</v>
      </c>
      <c r="B431" s="755">
        <v>1000</v>
      </c>
      <c r="C431" s="10"/>
      <c r="D431" s="110"/>
      <c r="E431" s="10"/>
      <c r="F431" s="10"/>
      <c r="G431" s="10"/>
      <c r="H431" s="10"/>
      <c r="I431" s="10"/>
      <c r="J431" s="10"/>
      <c r="K431" s="10"/>
      <c r="L431" s="10"/>
    </row>
    <row r="432" spans="1:12" ht="15.75">
      <c r="A432" s="753" t="s">
        <v>791</v>
      </c>
      <c r="B432" s="755">
        <v>4</v>
      </c>
      <c r="C432" s="774"/>
      <c r="D432" s="91"/>
      <c r="E432" s="91"/>
      <c r="F432" s="91"/>
      <c r="G432" s="91"/>
      <c r="H432" s="91"/>
      <c r="I432" s="91"/>
      <c r="J432" s="91"/>
      <c r="K432" s="91"/>
      <c r="L432" s="91"/>
    </row>
    <row r="433" spans="1:12" ht="15.75">
      <c r="A433" s="753"/>
      <c r="B433" s="755"/>
      <c r="C433" s="10"/>
      <c r="D433" s="110"/>
      <c r="E433" s="10"/>
      <c r="F433" s="10"/>
      <c r="G433" s="10"/>
      <c r="H433" s="10"/>
      <c r="I433" s="10"/>
      <c r="J433" s="10"/>
      <c r="K433" s="10"/>
      <c r="L433" s="10"/>
    </row>
    <row r="434" spans="1:12" ht="21">
      <c r="A434" s="976" t="str">
        <f>"Question 1 - Points "&amp;SUM(L435:L436)</f>
        <v>Question 1 - Points 21</v>
      </c>
      <c r="B434" s="977"/>
      <c r="C434" s="977"/>
      <c r="D434" s="977"/>
      <c r="E434" s="977"/>
      <c r="F434" s="977"/>
      <c r="G434" s="977"/>
      <c r="H434" s="977"/>
      <c r="I434" s="977"/>
      <c r="J434" s="977"/>
      <c r="K434" s="977"/>
      <c r="L434" s="549" t="s">
        <v>635</v>
      </c>
    </row>
    <row r="435" spans="1:12" ht="32.25" customHeight="1">
      <c r="A435" s="990" t="s">
        <v>844</v>
      </c>
      <c r="B435" s="981"/>
      <c r="C435" s="981"/>
      <c r="D435" s="981"/>
      <c r="E435" s="981"/>
      <c r="F435" s="981"/>
      <c r="G435" s="981"/>
      <c r="H435" s="981"/>
      <c r="I435" s="981"/>
      <c r="J435" s="981"/>
      <c r="K435" s="991"/>
      <c r="L435" s="610">
        <v>19</v>
      </c>
    </row>
    <row r="436" spans="1:12" ht="21">
      <c r="A436" s="990" t="s">
        <v>843</v>
      </c>
      <c r="B436" s="981"/>
      <c r="C436" s="981"/>
      <c r="D436" s="981"/>
      <c r="E436" s="981"/>
      <c r="F436" s="981"/>
      <c r="G436" s="981"/>
      <c r="H436" s="981"/>
      <c r="I436" s="981"/>
      <c r="J436" s="981"/>
      <c r="K436" s="991"/>
      <c r="L436" s="610">
        <v>2</v>
      </c>
    </row>
  </sheetData>
  <mergeCells count="56">
    <mergeCell ref="A264:G266"/>
    <mergeCell ref="A434:K434"/>
    <mergeCell ref="A435:K435"/>
    <mergeCell ref="A436:K436"/>
    <mergeCell ref="A284:K284"/>
    <mergeCell ref="A285:K285"/>
    <mergeCell ref="A385:L385"/>
    <mergeCell ref="A379:G379"/>
    <mergeCell ref="A411:L416"/>
    <mergeCell ref="A304:K304"/>
    <mergeCell ref="A305:K305"/>
    <mergeCell ref="A306:K306"/>
    <mergeCell ref="A373:K373"/>
    <mergeCell ref="A374:K376"/>
    <mergeCell ref="A247:K247"/>
    <mergeCell ref="A205:L205"/>
    <mergeCell ref="A209:K209"/>
    <mergeCell ref="A210:K212"/>
    <mergeCell ref="A213:K213"/>
    <mergeCell ref="A217:K217"/>
    <mergeCell ref="A218:K220"/>
    <mergeCell ref="A244:K244"/>
    <mergeCell ref="A233:K233"/>
    <mergeCell ref="A234:K236"/>
    <mergeCell ref="A245:K245"/>
    <mergeCell ref="A246:K246"/>
    <mergeCell ref="A87:L87"/>
    <mergeCell ref="A43:L43"/>
    <mergeCell ref="A45:L48"/>
    <mergeCell ref="A52:L60"/>
    <mergeCell ref="B66:E66"/>
    <mergeCell ref="A74:L77"/>
    <mergeCell ref="A88:L88"/>
    <mergeCell ref="A108:L108"/>
    <mergeCell ref="A109:L109"/>
    <mergeCell ref="A110:L110"/>
    <mergeCell ref="A117:L128"/>
    <mergeCell ref="A184:L184"/>
    <mergeCell ref="A203:L203"/>
    <mergeCell ref="A186:L186"/>
    <mergeCell ref="A187:L187"/>
    <mergeCell ref="A188:L188"/>
    <mergeCell ref="A192:L195"/>
    <mergeCell ref="A196:L196"/>
    <mergeCell ref="A197:L197"/>
    <mergeCell ref="A185:L185"/>
    <mergeCell ref="A198:L198"/>
    <mergeCell ref="A199:L199"/>
    <mergeCell ref="A200:L200"/>
    <mergeCell ref="A201:L201"/>
    <mergeCell ref="A202:L202"/>
    <mergeCell ref="A139:L145"/>
    <mergeCell ref="A149:L149"/>
    <mergeCell ref="A159:L161"/>
    <mergeCell ref="A171:L174"/>
    <mergeCell ref="A178:L18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85"/>
  <sheetViews>
    <sheetView tabSelected="1" topLeftCell="G1" zoomScaleNormal="100" workbookViewId="0">
      <selection activeCell="N6" sqref="N6"/>
    </sheetView>
  </sheetViews>
  <sheetFormatPr defaultRowHeight="14.25"/>
  <sheetData>
    <row r="1" spans="1:12" s="2" customFormat="1">
      <c r="A1" s="347">
        <v>1</v>
      </c>
    </row>
    <row r="3" spans="1:12" ht="15.6" customHeight="1">
      <c r="A3" s="1251" t="s">
        <v>559</v>
      </c>
      <c r="B3" s="1252"/>
      <c r="C3" s="1252"/>
      <c r="D3" s="1252"/>
      <c r="E3" s="1252"/>
      <c r="F3" s="1252"/>
      <c r="G3" s="1252"/>
      <c r="H3" s="1252"/>
      <c r="I3" s="1252"/>
      <c r="J3" s="1252"/>
      <c r="K3" s="1252"/>
      <c r="L3" s="1252"/>
    </row>
    <row r="4" spans="1:12" ht="15.6" customHeight="1">
      <c r="A4" s="1033" t="s">
        <v>558</v>
      </c>
      <c r="B4" s="1034"/>
      <c r="C4" s="1034"/>
      <c r="D4" s="1034"/>
      <c r="E4" s="1034"/>
      <c r="F4" s="1034"/>
      <c r="G4" s="1034"/>
      <c r="H4" s="1034"/>
      <c r="I4" s="1034"/>
      <c r="J4" s="1034"/>
      <c r="K4" s="1034"/>
      <c r="L4" s="1034"/>
    </row>
    <row r="5" spans="1:12" ht="15.6" customHeight="1">
      <c r="A5" s="1033" t="s">
        <v>565</v>
      </c>
      <c r="B5" s="1034"/>
      <c r="C5" s="1034"/>
      <c r="D5" s="1034"/>
      <c r="E5" s="1034"/>
      <c r="F5" s="1034"/>
      <c r="G5" s="1034"/>
      <c r="H5" s="1034"/>
      <c r="I5" s="1034"/>
      <c r="J5" s="1034"/>
      <c r="K5" s="1034"/>
      <c r="L5" s="1034"/>
    </row>
    <row r="6" spans="1:12" ht="15.6" customHeight="1">
      <c r="A6" s="1033"/>
      <c r="B6" s="1034"/>
      <c r="C6" s="1034"/>
      <c r="D6" s="1034"/>
      <c r="E6" s="1034"/>
      <c r="F6" s="1034"/>
      <c r="G6" s="1034"/>
      <c r="H6" s="1034"/>
      <c r="I6" s="1034"/>
      <c r="J6" s="1034"/>
      <c r="K6" s="1034"/>
      <c r="L6" s="1034"/>
    </row>
    <row r="7" spans="1:12" ht="30.4" customHeight="1">
      <c r="A7" s="1033" t="s">
        <v>566</v>
      </c>
      <c r="B7" s="1034"/>
      <c r="C7" s="1034"/>
      <c r="D7" s="1034"/>
      <c r="E7" s="1034"/>
      <c r="F7" s="1034"/>
      <c r="G7" s="1034"/>
      <c r="H7" s="1034"/>
      <c r="I7" s="1034"/>
      <c r="J7" s="1034"/>
      <c r="K7" s="1034"/>
      <c r="L7" s="1034"/>
    </row>
    <row r="8" spans="1:12" ht="15.6" customHeight="1">
      <c r="A8" s="1033" t="s">
        <v>567</v>
      </c>
      <c r="B8" s="1034"/>
      <c r="C8" s="1034"/>
      <c r="D8" s="1034"/>
      <c r="E8" s="1034"/>
      <c r="F8" s="1034"/>
      <c r="G8" s="1034"/>
      <c r="H8" s="1034"/>
      <c r="I8" s="1034"/>
      <c r="J8" s="1034"/>
      <c r="K8" s="1034"/>
      <c r="L8" s="1034"/>
    </row>
    <row r="9" spans="1:12" ht="15.6" customHeight="1">
      <c r="A9" s="1033" t="s">
        <v>568</v>
      </c>
      <c r="B9" s="1034"/>
      <c r="C9" s="1034"/>
      <c r="D9" s="1034"/>
      <c r="E9" s="1034"/>
      <c r="F9" s="1034"/>
      <c r="G9" s="1034"/>
      <c r="H9" s="1034"/>
      <c r="I9" s="1034"/>
      <c r="J9" s="1034"/>
      <c r="K9" s="1034"/>
      <c r="L9" s="1034"/>
    </row>
    <row r="11" spans="1:12" s="2" customFormat="1">
      <c r="A11" s="347">
        <v>2</v>
      </c>
    </row>
    <row r="13" spans="1:12" ht="21" customHeight="1">
      <c r="A13" s="1249" t="s">
        <v>615</v>
      </c>
      <c r="B13" s="1250"/>
      <c r="C13" s="1250"/>
      <c r="D13" s="1250"/>
      <c r="E13" s="1250"/>
      <c r="F13" s="1250"/>
      <c r="G13" s="1250"/>
      <c r="H13" s="1250"/>
      <c r="I13" s="1250"/>
      <c r="J13" s="1250"/>
      <c r="K13" s="1250"/>
      <c r="L13" s="1250"/>
    </row>
    <row r="14" spans="1:12" ht="15.6" customHeight="1">
      <c r="A14" s="1033" t="s">
        <v>558</v>
      </c>
      <c r="B14" s="1034"/>
      <c r="C14" s="1034"/>
      <c r="D14" s="1034"/>
      <c r="E14" s="1034"/>
      <c r="F14" s="1034"/>
      <c r="G14" s="1034"/>
      <c r="H14" s="1034"/>
      <c r="I14" s="1034"/>
      <c r="J14" s="1034"/>
      <c r="K14" s="1034"/>
      <c r="L14" s="1034"/>
    </row>
    <row r="15" spans="1:12" ht="15.6" customHeight="1">
      <c r="A15" s="1033" t="s">
        <v>611</v>
      </c>
      <c r="B15" s="1034"/>
      <c r="C15" s="1034"/>
      <c r="D15" s="1034"/>
      <c r="E15" s="1034"/>
      <c r="F15" s="1034"/>
      <c r="G15" s="1034"/>
      <c r="H15" s="1034"/>
      <c r="I15" s="1034"/>
      <c r="J15" s="1034"/>
      <c r="K15" s="1034"/>
      <c r="L15" s="1034"/>
    </row>
    <row r="16" spans="1:12" ht="15.6" customHeight="1">
      <c r="A16" s="1033"/>
      <c r="B16" s="1034"/>
      <c r="C16" s="1034"/>
      <c r="D16" s="1034"/>
      <c r="E16" s="1034"/>
      <c r="F16" s="1034"/>
      <c r="G16" s="1034"/>
      <c r="H16" s="1034"/>
      <c r="I16" s="1034"/>
      <c r="J16" s="1034"/>
      <c r="K16" s="1034"/>
      <c r="L16" s="1034"/>
    </row>
    <row r="17" spans="1:12" ht="15.6" customHeight="1">
      <c r="A17" s="1033" t="s">
        <v>612</v>
      </c>
      <c r="B17" s="1034"/>
      <c r="C17" s="1034"/>
      <c r="D17" s="1034"/>
      <c r="E17" s="1034"/>
      <c r="F17" s="1034"/>
      <c r="G17" s="1034"/>
      <c r="H17" s="1034"/>
      <c r="I17" s="1034"/>
      <c r="J17" s="1034"/>
      <c r="K17" s="1034"/>
      <c r="L17" s="1034"/>
    </row>
    <row r="18" spans="1:12" ht="15.6" customHeight="1">
      <c r="A18" s="1033"/>
      <c r="B18" s="1034"/>
      <c r="C18" s="1034"/>
      <c r="D18" s="1034"/>
      <c r="E18" s="1034"/>
      <c r="F18" s="1034"/>
      <c r="G18" s="1034"/>
      <c r="H18" s="1034"/>
      <c r="I18" s="1034"/>
      <c r="J18" s="1034"/>
      <c r="K18" s="1034"/>
      <c r="L18" s="1034"/>
    </row>
    <row r="19" spans="1:12" ht="15.6" customHeight="1">
      <c r="A19" s="1033"/>
      <c r="B19" s="1034"/>
      <c r="C19" s="1034"/>
      <c r="D19" s="1034"/>
      <c r="E19" s="1034"/>
      <c r="F19" s="1034"/>
      <c r="G19" s="1034"/>
      <c r="H19" s="1034"/>
      <c r="I19" s="1034"/>
      <c r="J19" s="1034"/>
      <c r="K19" s="1034"/>
      <c r="L19" s="1034"/>
    </row>
    <row r="20" spans="1:12" ht="15.6" customHeight="1">
      <c r="A20" s="1033" t="s">
        <v>613</v>
      </c>
      <c r="B20" s="1034"/>
      <c r="C20" s="1034"/>
      <c r="D20" s="1034"/>
      <c r="E20" s="1034"/>
      <c r="F20" s="1034"/>
      <c r="G20" s="1034"/>
      <c r="H20" s="1034"/>
      <c r="I20" s="1034"/>
      <c r="J20" s="1034"/>
      <c r="K20" s="1034"/>
      <c r="L20" s="1034"/>
    </row>
    <row r="21" spans="1:12" ht="15.6" customHeight="1">
      <c r="A21" s="1033"/>
      <c r="B21" s="1034"/>
      <c r="C21" s="1034"/>
      <c r="D21" s="1034"/>
      <c r="E21" s="1034"/>
      <c r="F21" s="1034"/>
      <c r="G21" s="1034"/>
      <c r="H21" s="1034"/>
      <c r="I21" s="1034"/>
      <c r="J21" s="1034"/>
      <c r="K21" s="1034"/>
      <c r="L21" s="1034"/>
    </row>
    <row r="22" spans="1:12" ht="15.6" customHeight="1">
      <c r="A22" s="1034" t="s">
        <v>614</v>
      </c>
      <c r="B22" s="1034"/>
      <c r="C22" s="1034"/>
      <c r="D22" s="1034"/>
      <c r="E22" s="1034"/>
      <c r="F22" s="1034"/>
      <c r="G22" s="1034"/>
      <c r="H22" s="1034"/>
      <c r="I22" s="1034"/>
      <c r="J22" s="1034"/>
      <c r="K22" s="1034"/>
      <c r="L22" s="1034"/>
    </row>
    <row r="23" spans="1:12" ht="15.6" customHeight="1">
      <c r="A23" s="1034"/>
      <c r="B23" s="1034"/>
      <c r="C23" s="1034"/>
      <c r="D23" s="1034"/>
      <c r="E23" s="1034"/>
      <c r="F23" s="1034"/>
      <c r="G23" s="1034"/>
      <c r="H23" s="1034"/>
      <c r="I23" s="1034"/>
      <c r="J23" s="1034"/>
      <c r="K23" s="1034"/>
      <c r="L23" s="1034"/>
    </row>
    <row r="25" spans="1:12" s="2" customFormat="1">
      <c r="A25" s="347">
        <v>3</v>
      </c>
      <c r="B25" s="2">
        <v>3</v>
      </c>
    </row>
    <row r="27" spans="1:12" s="637" customFormat="1" ht="15.75">
      <c r="A27" s="1031" t="str">
        <f>"Question 6 - Points "&amp;SUM(L29:L32)</f>
        <v>Question 6 - Points 6</v>
      </c>
      <c r="B27" s="1032"/>
      <c r="C27" s="1032"/>
      <c r="D27" s="1032"/>
      <c r="E27" s="1032"/>
      <c r="F27" s="1032"/>
      <c r="G27" s="1032"/>
      <c r="H27" s="1032"/>
      <c r="I27" s="1032"/>
      <c r="J27" s="1032"/>
      <c r="K27" s="1052"/>
      <c r="L27" s="549" t="s">
        <v>635</v>
      </c>
    </row>
    <row r="28" spans="1:12" s="637" customFormat="1" ht="15.75">
      <c r="A28" s="1033" t="s">
        <v>657</v>
      </c>
      <c r="B28" s="1034"/>
      <c r="C28" s="1034"/>
      <c r="D28" s="1034"/>
      <c r="E28" s="1034"/>
      <c r="F28" s="1034"/>
      <c r="G28" s="1034"/>
      <c r="H28" s="1034"/>
      <c r="I28" s="1034"/>
      <c r="J28" s="1034"/>
      <c r="K28" s="1035"/>
      <c r="L28" s="551"/>
    </row>
    <row r="29" spans="1:12" s="637" customFormat="1" ht="67.150000000000006" customHeight="1">
      <c r="A29" s="1132" t="s">
        <v>658</v>
      </c>
      <c r="B29" s="1133"/>
      <c r="C29" s="1133"/>
      <c r="D29" s="1133"/>
      <c r="E29" s="1133"/>
      <c r="F29" s="1133"/>
      <c r="G29" s="1133"/>
      <c r="H29" s="1133"/>
      <c r="I29" s="1133"/>
      <c r="J29" s="1133"/>
      <c r="K29" s="1255"/>
      <c r="L29" s="638"/>
    </row>
    <row r="30" spans="1:12" s="637" customFormat="1" ht="36" customHeight="1">
      <c r="A30" s="1114" t="s">
        <v>659</v>
      </c>
      <c r="B30" s="1115"/>
      <c r="C30" s="1115"/>
      <c r="D30" s="1115"/>
      <c r="E30" s="1115"/>
      <c r="F30" s="1115"/>
      <c r="G30" s="1115"/>
      <c r="H30" s="1115"/>
      <c r="I30" s="1115"/>
      <c r="J30" s="1115"/>
      <c r="K30" s="1116"/>
      <c r="L30" s="639">
        <v>2</v>
      </c>
    </row>
    <row r="31" spans="1:12" s="637" customFormat="1" ht="32.65" customHeight="1">
      <c r="A31" s="1114" t="s">
        <v>660</v>
      </c>
      <c r="B31" s="1115"/>
      <c r="C31" s="1115"/>
      <c r="D31" s="1115"/>
      <c r="E31" s="1115"/>
      <c r="F31" s="1115"/>
      <c r="G31" s="1115"/>
      <c r="H31" s="1115"/>
      <c r="I31" s="1115"/>
      <c r="J31" s="1115"/>
      <c r="K31" s="1116"/>
      <c r="L31" s="639">
        <v>2</v>
      </c>
    </row>
    <row r="32" spans="1:12" s="637" customFormat="1" ht="34.5" customHeight="1">
      <c r="A32" s="1114" t="s">
        <v>661</v>
      </c>
      <c r="B32" s="1115"/>
      <c r="C32" s="1115"/>
      <c r="D32" s="1115"/>
      <c r="E32" s="1115"/>
      <c r="F32" s="1115"/>
      <c r="G32" s="1115"/>
      <c r="H32" s="1115"/>
      <c r="I32" s="1115"/>
      <c r="J32" s="1115"/>
      <c r="K32" s="1116"/>
      <c r="L32" s="639">
        <v>2</v>
      </c>
    </row>
    <row r="34" spans="1:13" s="2" customFormat="1">
      <c r="A34" s="347">
        <v>4</v>
      </c>
    </row>
    <row r="35" spans="1:13" ht="14.65" thickBot="1"/>
    <row r="36" spans="1:13" ht="18.399999999999999" thickBot="1">
      <c r="A36" s="681" t="s">
        <v>779</v>
      </c>
      <c r="B36" s="688"/>
      <c r="C36" s="688"/>
      <c r="D36" s="688"/>
      <c r="E36" s="688"/>
      <c r="F36" s="688"/>
      <c r="G36" s="688"/>
      <c r="H36" s="688"/>
      <c r="I36" s="688"/>
      <c r="J36" s="688"/>
      <c r="K36" s="688"/>
      <c r="L36" s="688"/>
      <c r="M36" s="679"/>
    </row>
    <row r="37" spans="1:13" ht="18">
      <c r="A37" s="554"/>
      <c r="B37" s="554"/>
      <c r="C37" s="554"/>
      <c r="D37" s="554"/>
      <c r="E37" s="554"/>
      <c r="F37" s="554"/>
      <c r="G37" s="554"/>
      <c r="H37" s="554"/>
      <c r="I37" s="554"/>
      <c r="J37" s="554"/>
      <c r="K37" s="554"/>
      <c r="L37" s="554"/>
      <c r="M37" s="679"/>
    </row>
    <row r="38" spans="1:13" ht="18">
      <c r="A38" s="554" t="s">
        <v>780</v>
      </c>
      <c r="B38" s="554"/>
      <c r="C38" s="554"/>
      <c r="D38" s="554"/>
      <c r="E38" s="554"/>
      <c r="F38" s="554"/>
      <c r="G38" s="554"/>
      <c r="H38" s="554"/>
      <c r="I38" s="554"/>
      <c r="J38" s="554"/>
      <c r="K38" s="554"/>
      <c r="L38" s="554"/>
      <c r="M38" s="679"/>
    </row>
    <row r="39" spans="1:13" ht="18">
      <c r="A39" s="554" t="s">
        <v>781</v>
      </c>
      <c r="B39" s="554"/>
      <c r="C39" s="554"/>
      <c r="D39" s="554"/>
      <c r="E39" s="554"/>
      <c r="F39" s="554"/>
      <c r="G39" s="554"/>
      <c r="H39" s="554"/>
      <c r="I39" s="554"/>
      <c r="J39" s="554"/>
      <c r="K39" s="554"/>
      <c r="L39" s="554"/>
      <c r="M39" s="679"/>
    </row>
    <row r="40" spans="1:13" ht="18">
      <c r="A40" s="554" t="s">
        <v>782</v>
      </c>
      <c r="B40" s="554"/>
      <c r="C40" s="554"/>
      <c r="D40" s="554"/>
      <c r="E40" s="554"/>
      <c r="F40" s="554"/>
      <c r="G40" s="554"/>
      <c r="H40" s="554"/>
      <c r="I40" s="554"/>
      <c r="J40" s="554"/>
      <c r="K40" s="554"/>
      <c r="L40" s="554"/>
      <c r="M40" s="679"/>
    </row>
    <row r="41" spans="1:13" ht="18">
      <c r="A41" s="554" t="s">
        <v>783</v>
      </c>
      <c r="B41" s="554"/>
      <c r="C41" s="554"/>
      <c r="D41" s="554"/>
      <c r="E41" s="554"/>
      <c r="F41" s="554"/>
      <c r="G41" s="554"/>
      <c r="H41" s="554"/>
      <c r="I41" s="554"/>
      <c r="J41" s="554"/>
      <c r="K41" s="554"/>
      <c r="L41" s="554"/>
      <c r="M41" s="679"/>
    </row>
    <row r="42" spans="1:13" ht="18">
      <c r="A42" s="554"/>
      <c r="B42" s="554"/>
      <c r="C42" s="554"/>
      <c r="D42" s="554"/>
      <c r="E42" s="554"/>
      <c r="F42" s="554"/>
      <c r="G42" s="554"/>
      <c r="H42" s="554"/>
      <c r="I42" s="554"/>
      <c r="J42" s="554"/>
      <c r="K42" s="554"/>
      <c r="L42" s="554"/>
      <c r="M42" s="679"/>
    </row>
    <row r="43" spans="1:13" ht="21">
      <c r="A43" s="745" t="s">
        <v>784</v>
      </c>
      <c r="B43" s="554" t="s">
        <v>785</v>
      </c>
      <c r="C43" s="554"/>
      <c r="D43" s="554"/>
      <c r="E43" s="554"/>
      <c r="F43" s="554"/>
      <c r="G43" s="554"/>
      <c r="H43" s="554"/>
      <c r="I43" s="554"/>
      <c r="J43" s="554"/>
      <c r="K43" s="554"/>
      <c r="L43" s="554"/>
      <c r="M43" s="679">
        <v>6</v>
      </c>
    </row>
    <row r="45" spans="1:13" s="2" customFormat="1">
      <c r="A45" s="347">
        <v>5</v>
      </c>
    </row>
    <row r="46" spans="1:13" ht="14.65" thickBot="1"/>
    <row r="47" spans="1:13" ht="18.399999999999999" thickBot="1">
      <c r="A47" s="681" t="s">
        <v>817</v>
      </c>
      <c r="B47" s="688"/>
      <c r="C47" s="688"/>
      <c r="D47" s="688"/>
      <c r="E47" s="688"/>
      <c r="F47" s="688"/>
      <c r="G47" s="688"/>
      <c r="H47" s="688"/>
      <c r="I47" s="688"/>
      <c r="J47" s="688"/>
      <c r="K47" s="688"/>
      <c r="L47" s="688"/>
      <c r="M47" s="679"/>
    </row>
    <row r="48" spans="1:13" ht="18">
      <c r="A48" s="1253" t="s">
        <v>814</v>
      </c>
      <c r="B48" s="1253"/>
      <c r="C48" s="1253"/>
      <c r="D48" s="1253"/>
      <c r="E48" s="1253"/>
      <c r="F48" s="1253"/>
      <c r="G48" s="1253"/>
      <c r="H48" s="1253"/>
      <c r="I48" s="1253"/>
      <c r="J48" s="1253"/>
      <c r="K48" s="1253"/>
      <c r="L48" s="1254"/>
      <c r="M48" s="679"/>
    </row>
    <row r="49" spans="1:13" ht="18">
      <c r="A49" s="1253"/>
      <c r="B49" s="1253"/>
      <c r="C49" s="1253"/>
      <c r="D49" s="1253"/>
      <c r="E49" s="1253"/>
      <c r="F49" s="1253"/>
      <c r="G49" s="1253"/>
      <c r="H49" s="1253"/>
      <c r="I49" s="1253"/>
      <c r="J49" s="1253"/>
      <c r="K49" s="1253"/>
      <c r="L49" s="1254"/>
      <c r="M49" s="679"/>
    </row>
    <row r="50" spans="1:13" ht="18">
      <c r="A50" s="1253"/>
      <c r="B50" s="1253"/>
      <c r="C50" s="1253"/>
      <c r="D50" s="1253"/>
      <c r="E50" s="1253"/>
      <c r="F50" s="1253"/>
      <c r="G50" s="1253"/>
      <c r="H50" s="1253"/>
      <c r="I50" s="1253"/>
      <c r="J50" s="1253"/>
      <c r="K50" s="1253"/>
      <c r="L50" s="1254"/>
      <c r="M50" s="679"/>
    </row>
    <row r="51" spans="1:13" ht="18">
      <c r="A51" s="1253"/>
      <c r="B51" s="1253"/>
      <c r="C51" s="1253"/>
      <c r="D51" s="1253"/>
      <c r="E51" s="1253"/>
      <c r="F51" s="1253"/>
      <c r="G51" s="1253"/>
      <c r="H51" s="1253"/>
      <c r="I51" s="1253"/>
      <c r="J51" s="1253"/>
      <c r="K51" s="1253"/>
      <c r="L51" s="1254"/>
      <c r="M51" s="679"/>
    </row>
    <row r="52" spans="1:13" ht="18">
      <c r="A52" s="554"/>
      <c r="B52" s="554"/>
      <c r="C52" s="554"/>
      <c r="D52" s="554"/>
      <c r="E52" s="554"/>
      <c r="F52" s="554"/>
      <c r="G52" s="554"/>
      <c r="H52" s="554"/>
      <c r="I52" s="554"/>
      <c r="J52" s="554"/>
      <c r="K52" s="554"/>
      <c r="L52" s="554"/>
      <c r="M52" s="679"/>
    </row>
    <row r="53" spans="1:13" ht="21">
      <c r="A53" s="745">
        <v>7.1</v>
      </c>
      <c r="B53" s="554" t="s">
        <v>815</v>
      </c>
      <c r="C53" s="554"/>
      <c r="D53" s="554"/>
      <c r="E53" s="554"/>
      <c r="F53" s="554"/>
      <c r="G53" s="554"/>
      <c r="H53" s="554"/>
      <c r="I53" s="554"/>
      <c r="J53" s="554"/>
      <c r="K53" s="554"/>
      <c r="L53" s="554"/>
      <c r="M53" s="679">
        <v>8</v>
      </c>
    </row>
    <row r="54" spans="1:13" ht="21">
      <c r="A54" s="745">
        <v>7.2</v>
      </c>
      <c r="B54" s="554" t="s">
        <v>816</v>
      </c>
      <c r="C54" s="554"/>
      <c r="D54" s="554"/>
      <c r="E54" s="554"/>
      <c r="F54" s="554"/>
      <c r="G54" s="554"/>
      <c r="H54" s="554"/>
      <c r="I54" s="554"/>
      <c r="J54" s="554"/>
      <c r="K54" s="554"/>
      <c r="L54" s="554"/>
      <c r="M54" s="768">
        <v>6</v>
      </c>
    </row>
    <row r="56" spans="1:13" s="2" customFormat="1">
      <c r="A56" s="347">
        <v>6</v>
      </c>
    </row>
    <row r="58" spans="1:13" ht="21.4" thickBot="1">
      <c r="A58" s="976" t="str">
        <f>"Question 7 - Points "&amp;SUM(L59:L63)</f>
        <v>Question 7 - Points 8</v>
      </c>
      <c r="B58" s="977"/>
      <c r="C58" s="977"/>
      <c r="D58" s="977"/>
      <c r="E58" s="977"/>
      <c r="F58" s="977"/>
      <c r="G58" s="977"/>
      <c r="H58" s="977"/>
      <c r="I58" s="977"/>
      <c r="J58" s="977"/>
      <c r="K58" s="977"/>
      <c r="L58" s="549" t="s">
        <v>635</v>
      </c>
    </row>
    <row r="59" spans="1:13" ht="21.4" customHeight="1" thickBot="1">
      <c r="A59" s="982" t="s">
        <v>824</v>
      </c>
      <c r="B59" s="982"/>
      <c r="C59" s="982"/>
      <c r="D59" s="982"/>
      <c r="E59" s="982"/>
      <c r="F59" s="982"/>
      <c r="G59" s="982"/>
      <c r="H59" s="982"/>
      <c r="I59" s="982"/>
      <c r="J59" s="982"/>
      <c r="K59" s="982"/>
      <c r="L59" s="550">
        <v>8</v>
      </c>
    </row>
    <row r="60" spans="1:13" ht="21">
      <c r="A60" s="981"/>
      <c r="B60" s="981"/>
      <c r="C60" s="981"/>
      <c r="D60" s="981"/>
      <c r="E60" s="981"/>
      <c r="F60" s="981"/>
      <c r="G60" s="981"/>
      <c r="H60" s="981"/>
      <c r="I60" s="981"/>
      <c r="J60" s="981"/>
      <c r="K60" s="981"/>
      <c r="L60" s="757"/>
    </row>
    <row r="61" spans="1:13" ht="21">
      <c r="A61" s="981"/>
      <c r="B61" s="981"/>
      <c r="C61" s="981"/>
      <c r="D61" s="981"/>
      <c r="E61" s="981"/>
      <c r="F61" s="981"/>
      <c r="G61" s="981"/>
      <c r="H61" s="981"/>
      <c r="I61" s="981"/>
      <c r="J61" s="981"/>
      <c r="K61" s="981"/>
      <c r="L61" s="757"/>
    </row>
    <row r="62" spans="1:13" ht="21">
      <c r="A62" s="981"/>
      <c r="B62" s="981"/>
      <c r="C62" s="981"/>
      <c r="D62" s="981"/>
      <c r="E62" s="981"/>
      <c r="F62" s="981"/>
      <c r="G62" s="981"/>
      <c r="H62" s="981"/>
      <c r="I62" s="981"/>
      <c r="J62" s="981"/>
      <c r="K62" s="981"/>
      <c r="L62" s="757"/>
    </row>
    <row r="63" spans="1:13" ht="21">
      <c r="A63" s="981"/>
      <c r="B63" s="981"/>
      <c r="C63" s="981"/>
      <c r="D63" s="981"/>
      <c r="E63" s="981"/>
      <c r="F63" s="981"/>
      <c r="G63" s="981"/>
      <c r="H63" s="981"/>
      <c r="I63" s="981"/>
      <c r="J63" s="981"/>
      <c r="K63" s="981"/>
      <c r="L63" s="757"/>
    </row>
    <row r="65" spans="1:12" s="2" customFormat="1">
      <c r="A65" s="347">
        <v>7</v>
      </c>
    </row>
    <row r="67" spans="1:12" ht="21.4" thickBot="1">
      <c r="A67" s="976" t="str">
        <f>"Question 7 - Points "&amp;SUM(L68:L72)</f>
        <v>Question 7 - Points 8</v>
      </c>
      <c r="B67" s="977"/>
      <c r="C67" s="977"/>
      <c r="D67" s="977"/>
      <c r="E67" s="977"/>
      <c r="F67" s="977"/>
      <c r="G67" s="977"/>
      <c r="H67" s="977"/>
      <c r="I67" s="977"/>
      <c r="J67" s="977"/>
      <c r="K67" s="977"/>
      <c r="L67" s="549" t="s">
        <v>635</v>
      </c>
    </row>
    <row r="68" spans="1:12" ht="21.4" customHeight="1" thickBot="1">
      <c r="A68" s="982" t="s">
        <v>858</v>
      </c>
      <c r="B68" s="982"/>
      <c r="C68" s="982"/>
      <c r="D68" s="982"/>
      <c r="E68" s="982"/>
      <c r="F68" s="982"/>
      <c r="G68" s="982"/>
      <c r="H68" s="982"/>
      <c r="I68" s="982"/>
      <c r="J68" s="982"/>
      <c r="K68" s="982"/>
      <c r="L68" s="550">
        <v>8</v>
      </c>
    </row>
    <row r="69" spans="1:12" ht="21">
      <c r="A69" s="981"/>
      <c r="B69" s="981"/>
      <c r="C69" s="981"/>
      <c r="D69" s="981"/>
      <c r="E69" s="981"/>
      <c r="F69" s="981"/>
      <c r="G69" s="981"/>
      <c r="H69" s="981"/>
      <c r="I69" s="981"/>
      <c r="J69" s="981"/>
      <c r="K69" s="981"/>
      <c r="L69" s="757"/>
    </row>
    <row r="70" spans="1:12" ht="21">
      <c r="A70" s="981"/>
      <c r="B70" s="981"/>
      <c r="C70" s="981"/>
      <c r="D70" s="981"/>
      <c r="E70" s="981"/>
      <c r="F70" s="981"/>
      <c r="G70" s="981"/>
      <c r="H70" s="981"/>
      <c r="I70" s="981"/>
      <c r="J70" s="981"/>
      <c r="K70" s="981"/>
      <c r="L70" s="757"/>
    </row>
    <row r="71" spans="1:12" ht="21">
      <c r="A71" s="981"/>
      <c r="B71" s="981"/>
      <c r="C71" s="981"/>
      <c r="D71" s="981"/>
      <c r="E71" s="981"/>
      <c r="F71" s="981"/>
      <c r="G71" s="981"/>
      <c r="H71" s="981"/>
      <c r="I71" s="981"/>
      <c r="J71" s="981"/>
      <c r="K71" s="981"/>
      <c r="L71" s="757"/>
    </row>
    <row r="72" spans="1:12" ht="21">
      <c r="A72" s="981"/>
      <c r="B72" s="981"/>
      <c r="C72" s="981"/>
      <c r="D72" s="981"/>
      <c r="E72" s="981"/>
      <c r="F72" s="981"/>
      <c r="G72" s="981"/>
      <c r="H72" s="981"/>
      <c r="I72" s="981"/>
      <c r="J72" s="981"/>
      <c r="K72" s="981"/>
      <c r="L72" s="757"/>
    </row>
    <row r="73" spans="1:12" ht="21">
      <c r="A73" s="981"/>
      <c r="B73" s="981"/>
      <c r="C73" s="981"/>
      <c r="D73" s="981"/>
      <c r="E73" s="981"/>
      <c r="F73" s="981"/>
      <c r="G73" s="981"/>
      <c r="H73" s="981"/>
      <c r="I73" s="981"/>
      <c r="J73" s="981"/>
      <c r="K73" s="981"/>
      <c r="L73" s="757"/>
    </row>
    <row r="74" spans="1:12" ht="34.15" customHeight="1">
      <c r="A74" s="981"/>
      <c r="B74" s="981"/>
      <c r="C74" s="981"/>
      <c r="D74" s="981"/>
      <c r="E74" s="981"/>
      <c r="F74" s="981"/>
      <c r="G74" s="981"/>
      <c r="H74" s="981"/>
      <c r="I74" s="981"/>
      <c r="J74" s="981"/>
      <c r="K74" s="981"/>
      <c r="L74" s="757"/>
    </row>
    <row r="77" spans="1:12">
      <c r="A77" t="s">
        <v>523</v>
      </c>
    </row>
    <row r="79" spans="1:12" ht="18.75">
      <c r="A79" t="s">
        <v>516</v>
      </c>
    </row>
    <row r="80" spans="1:12" ht="18.75">
      <c r="A80" t="s">
        <v>517</v>
      </c>
    </row>
    <row r="81" spans="1:1" ht="18.75">
      <c r="A81" t="s">
        <v>518</v>
      </c>
    </row>
    <row r="82" spans="1:1" ht="18.75">
      <c r="A82" t="s">
        <v>519</v>
      </c>
    </row>
    <row r="83" spans="1:1" ht="18.75">
      <c r="A83" t="s">
        <v>520</v>
      </c>
    </row>
    <row r="84" spans="1:1" ht="18.75">
      <c r="A84" t="s">
        <v>521</v>
      </c>
    </row>
    <row r="85" spans="1:1" ht="18.75">
      <c r="A85" t="s">
        <v>522</v>
      </c>
    </row>
  </sheetData>
  <mergeCells count="23">
    <mergeCell ref="A3:L3"/>
    <mergeCell ref="A4:L4"/>
    <mergeCell ref="A7:L7"/>
    <mergeCell ref="A48:L51"/>
    <mergeCell ref="A14:L14"/>
    <mergeCell ref="A15:L16"/>
    <mergeCell ref="A20:L21"/>
    <mergeCell ref="A22:L23"/>
    <mergeCell ref="A17:L19"/>
    <mergeCell ref="A32:K32"/>
    <mergeCell ref="A27:K27"/>
    <mergeCell ref="A28:K28"/>
    <mergeCell ref="A29:K29"/>
    <mergeCell ref="A59:K63"/>
    <mergeCell ref="A13:L13"/>
    <mergeCell ref="A67:K67"/>
    <mergeCell ref="A68:K74"/>
    <mergeCell ref="A5:L6"/>
    <mergeCell ref="A8:L8"/>
    <mergeCell ref="A9:L9"/>
    <mergeCell ref="A30:K30"/>
    <mergeCell ref="A31:K31"/>
    <mergeCell ref="A58:K5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7E5B001EEC3341AFF24366E48C4F25" ma:contentTypeVersion="4" ma:contentTypeDescription="Create a new document." ma:contentTypeScope="" ma:versionID="116681c19f3b75ff41153799736dc741">
  <xsd:schema xmlns:xsd="http://www.w3.org/2001/XMLSchema" xmlns:xs="http://www.w3.org/2001/XMLSchema" xmlns:p="http://schemas.microsoft.com/office/2006/metadata/properties" xmlns:ns2="8ac9e48b-7d3b-4422-8dfd-6f71db9a6578" xmlns:ns3="c5872d4f-af56-4284-99cf-4150546ee56a" targetNamespace="http://schemas.microsoft.com/office/2006/metadata/properties" ma:root="true" ma:fieldsID="19fabe9dd3fc744dc61429bd3ef5f2c5" ns2:_="" ns3:_="">
    <xsd:import namespace="8ac9e48b-7d3b-4422-8dfd-6f71db9a6578"/>
    <xsd:import namespace="c5872d4f-af56-4284-99cf-4150546ee5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c9e48b-7d3b-4422-8dfd-6f71db9a65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872d4f-af56-4284-99cf-4150546ee56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2969D12-E629-4F2C-B688-120D4EF52B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c9e48b-7d3b-4422-8dfd-6f71db9a6578"/>
    <ds:schemaRef ds:uri="c5872d4f-af56-4284-99cf-4150546ee5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0492A4C-F278-499F-A610-E0AF93F6E19C}">
  <ds:schemaRefs>
    <ds:schemaRef ds:uri="http://schemas.microsoft.com/sharepoint/v3/contenttype/forms"/>
  </ds:schemaRefs>
</ds:datastoreItem>
</file>

<file path=customXml/itemProps3.xml><?xml version="1.0" encoding="utf-8"?>
<ds:datastoreItem xmlns:ds="http://schemas.openxmlformats.org/officeDocument/2006/customXml" ds:itemID="{5B6FA4B1-413D-4859-B7CF-E2643AA46ACF}">
  <ds:schemaRefs>
    <ds:schemaRef ds:uri="http://www.w3.org/XML/1998/namespace"/>
    <ds:schemaRef ds:uri="http://schemas.microsoft.com/office/infopath/2007/PartnerControls"/>
    <ds:schemaRef ds:uri="http://schemas.microsoft.com/office/2006/documentManagement/types"/>
    <ds:schemaRef ds:uri="http://purl.org/dc/dcmitype/"/>
    <ds:schemaRef ds:uri="8ac9e48b-7d3b-4422-8dfd-6f71db9a6578"/>
    <ds:schemaRef ds:uri="c5872d4f-af56-4284-99cf-4150546ee56a"/>
    <ds:schemaRef ds:uri="http://purl.org/dc/elements/1.1/"/>
    <ds:schemaRef ds:uri="http://schemas.openxmlformats.org/package/2006/metadata/core-propertie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7</vt:i4>
      </vt:variant>
    </vt:vector>
  </HeadingPairs>
  <TitlesOfParts>
    <vt:vector size="7" baseType="lpstr">
      <vt:lpstr>LU1</vt:lpstr>
      <vt:lpstr>LU2</vt:lpstr>
      <vt:lpstr>LU3</vt:lpstr>
      <vt:lpstr>LU4</vt:lpstr>
      <vt:lpstr>LU5</vt:lpstr>
      <vt:lpstr>LU6</vt:lpstr>
      <vt:lpstr>LU7</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Marija</dc:creator>
  <cp:keywords/>
  <dc:description/>
  <cp:lastModifiedBy>Tex Staal</cp:lastModifiedBy>
  <cp:revision/>
  <dcterms:created xsi:type="dcterms:W3CDTF">2022-05-27T15:26:57Z</dcterms:created>
  <dcterms:modified xsi:type="dcterms:W3CDTF">2026-05-30T15:23:51Z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0x010100367E5B001EEC3341AFF24366E48C4F25</vt:lpwstr>
  </property>
</Properties>
</file>